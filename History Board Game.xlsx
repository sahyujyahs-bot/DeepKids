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Game Play Mechanics" sheetId="3" r:id="rId7"/>
    <sheet state="visible" name="Mhajanapadas empires &amp; capitals" sheetId="4" r:id="rId8"/>
  </sheets>
  <definedNames/>
  <calcPr/>
</workbook>
</file>

<file path=xl/sharedStrings.xml><?xml version="1.0" encoding="utf-8"?>
<sst xmlns="http://schemas.openxmlformats.org/spreadsheetml/2006/main" count="392" uniqueCount="377">
  <si>
    <t>#</t>
  </si>
  <si>
    <t xml:space="preserve">                                                                                                                                                                                                                                                                                                                                                                                                                                                                                                                                                                                                                                                                                                                                                                                                                                                                                                                                                                                                                                                                                                                                                                                                                                                                                                                                                                                                                                                                                                                           </t>
  </si>
  <si>
    <t>Civilization/Empire</t>
  </si>
  <si>
    <t>Janapada</t>
  </si>
  <si>
    <t>Capital (ancient)</t>
  </si>
  <si>
    <t>Pre-Harappan &amp; Early Regional Cultures (Prior to Urbanization)</t>
  </si>
  <si>
    <t>Core region (today)</t>
  </si>
  <si>
    <t>Notes</t>
  </si>
  <si>
    <t>Start</t>
  </si>
  <si>
    <t>Aṅga</t>
  </si>
  <si>
    <t>Campā</t>
  </si>
  <si>
    <t>East Bihar–West Bengal (Bhagalpur area)</t>
  </si>
  <si>
    <t>Early rival/target of Magadha.</t>
  </si>
  <si>
    <t>Magadha</t>
  </si>
  <si>
    <t>Ahar-Banas Culture</t>
  </si>
  <si>
    <t>Rājagṛha → Pāṭaliputra</t>
  </si>
  <si>
    <t>South–central Bihar (Patna, Rajgir)</t>
  </si>
  <si>
    <t>The ultimate unifier (Nandas → Mauryas).</t>
  </si>
  <si>
    <t>Sindh–Punjab early towns (the classic “Early Harappan” ladder)</t>
  </si>
  <si>
    <t>Kāśi</t>
  </si>
  <si>
    <t>Vārāṇasī</t>
  </si>
  <si>
    <t>Ghaggar–Hakra</t>
  </si>
  <si>
    <t>Eastern U.P.</t>
  </si>
  <si>
    <t>Fought seesaw wars with Kośala/Magadha.</t>
  </si>
  <si>
    <t>IVC</t>
  </si>
  <si>
    <t>Kośala</t>
  </si>
  <si>
    <t>Śrāvastī (also Sāketa/Ayodhyā)</t>
  </si>
  <si>
    <t>Oudh region, U.P.</t>
  </si>
  <si>
    <t>End</t>
  </si>
  <si>
    <t>Powerful monarchs (Prasenajit); Buddha’s era.</t>
  </si>
  <si>
    <t>South India (Deccan)</t>
  </si>
  <si>
    <t>Duration</t>
  </si>
  <si>
    <t>Vajji (Vṛji) Confederacy</t>
  </si>
  <si>
    <t>Location</t>
  </si>
  <si>
    <t>Vaiśālī</t>
  </si>
  <si>
    <t xml:space="preserve">South India </t>
  </si>
  <si>
    <t>North Bihar (Mithila/Tirhut)</t>
  </si>
  <si>
    <t>Gaṇa-sangha (republican league: Licchavis, Videhas, etc.).</t>
  </si>
  <si>
    <t>Geography</t>
  </si>
  <si>
    <t>Malla</t>
  </si>
  <si>
    <t>Vedic Period</t>
  </si>
  <si>
    <t>Kuśinārā &amp; Pāvā</t>
  </si>
  <si>
    <t>North Bihar–East U.P.</t>
  </si>
  <si>
    <t>Republican clans; Buddha’s parinirvāṇa at Kuśinārā.</t>
  </si>
  <si>
    <t>Cedi (Cedi/Cheti)</t>
  </si>
  <si>
    <t>Mahajanapadas (North India)</t>
  </si>
  <si>
    <t>Suktimatī (site debated)</t>
  </si>
  <si>
    <t>Players are curators of inter galactic museum</t>
  </si>
  <si>
    <t>Bundelkhand–Narmada belt (MP/UP)</t>
  </si>
  <si>
    <t>Pandyas</t>
  </si>
  <si>
    <t>Old lineage; location uncertain in archaeology.</t>
  </si>
  <si>
    <t>Vatsa</t>
  </si>
  <si>
    <t>Cheras</t>
  </si>
  <si>
    <t>Kauśāmbī</t>
  </si>
  <si>
    <t>Cholas</t>
  </si>
  <si>
    <t>Allahabad/Prayagraj–Kaushambi (U.P.)</t>
  </si>
  <si>
    <t>Prosperous trading monarchy (Udayana).</t>
  </si>
  <si>
    <t>Kuru</t>
  </si>
  <si>
    <t>Indraprastha (&amp; Iśukāra in some lists)</t>
  </si>
  <si>
    <t>Delhi–Haryana</t>
  </si>
  <si>
    <t>Later a gaṇa element; Vedic prestige zone.</t>
  </si>
  <si>
    <t>Pañcāla</t>
  </si>
  <si>
    <t>Ahicchatra (North), Kampilya (South)</t>
  </si>
  <si>
    <t>Rohilkhand–Doab (U.P.)</t>
  </si>
  <si>
    <t>Mixed monarchical/republican phases.</t>
  </si>
  <si>
    <t>Matsya</t>
  </si>
  <si>
    <t>Start &amp; End</t>
  </si>
  <si>
    <t>Vīrāṭanagara (modern Bairāt)</t>
  </si>
  <si>
    <t>NE Rajasthan–Alwar/Jaipur</t>
  </si>
  <si>
    <t>Smaller but strategic, near Aravallis.</t>
  </si>
  <si>
    <t>7000 BCE	2500 BCE</t>
  </si>
  <si>
    <t>Sūrasena</t>
  </si>
  <si>
    <t>Mathurā</t>
  </si>
  <si>
    <t>Western U.P.</t>
  </si>
  <si>
    <t>3000 BCE	1500 BCE</t>
  </si>
  <si>
    <t>On Yamunā trade; later Krishna-cult heartland.</t>
  </si>
  <si>
    <t>3300 BCE     1300 BCE</t>
  </si>
  <si>
    <t>Avanti</t>
  </si>
  <si>
    <t>Ujjayinī &amp; Mahishmatī</t>
  </si>
  <si>
    <t>4500 BCE        3000 BCE</t>
  </si>
  <si>
    <t>Western &amp; southern MP</t>
  </si>
  <si>
    <t>3330 BCE    1300 BCE</t>
  </si>
  <si>
    <t>Western powerhouse; rival of Magadha.</t>
  </si>
  <si>
    <t>7000 BCE-1200 BCE</t>
  </si>
  <si>
    <t>1200-800 BCE</t>
  </si>
  <si>
    <t>Gāndhāra</t>
  </si>
  <si>
    <t>1500 BCE   700 BCE</t>
  </si>
  <si>
    <t>Takṣaśilā</t>
  </si>
  <si>
    <t>600 BCE        322 BCE</t>
  </si>
  <si>
    <t>NW Pakistan–Afghanistan</t>
  </si>
  <si>
    <t>Empire Cards</t>
  </si>
  <si>
    <t>University/cosmopolitan hub; Achaemenid contact.</t>
  </si>
  <si>
    <t>Rivers</t>
  </si>
  <si>
    <t>900 BCE - 300 BCE</t>
  </si>
  <si>
    <t>Quips about each empire/civilization</t>
  </si>
  <si>
    <t>Kamboja</t>
  </si>
  <si>
    <t>Rājapura/Kapiśa (disputed)</t>
  </si>
  <si>
    <t>Mountain Ranges</t>
  </si>
  <si>
    <t>600 BE - 300 BCE</t>
  </si>
  <si>
    <t>Kabul–Kunar–Swat belt</t>
  </si>
  <si>
    <t>Direct Access Oceans/Seas</t>
  </si>
  <si>
    <t>600 BCE - 300 BCE</t>
  </si>
  <si>
    <t>Flag</t>
  </si>
  <si>
    <t>Trans-Himalayan horse culture; often republican.</t>
  </si>
  <si>
    <t>Forests</t>
  </si>
  <si>
    <t>Assaka (Aśmaka)</t>
  </si>
  <si>
    <t>Deserts</t>
  </si>
  <si>
    <t>Potali (Paudanya)</t>
  </si>
  <si>
    <t>Godāvarī valley (N Maharashtra/Telangana)</t>
  </si>
  <si>
    <t>Minerals, Ores</t>
  </si>
  <si>
    <t>The outlier to the south among the 16.</t>
  </si>
  <si>
    <t>Variants: Some old lists swap Videha (Mithilā) in place of the broader Vajji league; several polities (e.g., Śākyas, Koliyas) were smaller republican clans inside bigger janapadas.</t>
  </si>
  <si>
    <t>Other Natural Resources</t>
  </si>
  <si>
    <t>Aṅga (Campā): Conquered by Magadha (Bimbisāra).</t>
  </si>
  <si>
    <t>Magadha: Absorbs others; becomes Nanda → Maurya core.</t>
  </si>
  <si>
    <t>Balochistan</t>
  </si>
  <si>
    <t>Kāśi: Squeezed by Kośala then Magadha.</t>
  </si>
  <si>
    <t>Rajasthan</t>
  </si>
  <si>
    <t>Kośala: Strong under Prasenajit; loses edge; drawn into Magadhan orbit.</t>
  </si>
  <si>
    <t>Vajji (Vṛji): Ajātaśatru breaks the confederacy after protracted war.</t>
  </si>
  <si>
    <t>Lifestyle</t>
  </si>
  <si>
    <t>Haryana, Rajasthan</t>
  </si>
  <si>
    <t>Family, Children, Community</t>
  </si>
  <si>
    <t>Malla: Small republics; fall post-Magadhan campaigns.</t>
  </si>
  <si>
    <t>Culture</t>
  </si>
  <si>
    <t>Deccan (Karnataka–Telangana–AP)</t>
  </si>
  <si>
    <t>Tokens</t>
  </si>
  <si>
    <t>Cedi: Power dilutes; folded into larger kingdoms.</t>
  </si>
  <si>
    <t>God</t>
  </si>
  <si>
    <t>Core belt: Deccan interior—today’s Karnataka (Bellary–Raichur–Koppal) with spillover into Telangana/Andhra and the northern fringe of Tamil Nadu.</t>
  </si>
  <si>
    <t>Vatsa (Kauśāmbī): Weakened by wars; annexed.</t>
  </si>
  <si>
    <t>Rituals</t>
  </si>
  <si>
    <t>Punjab–Haryana–Rajasthan fringe, upper Indus–Ghaggar–Yamuna
Spreads east (Late Vedic): Ganga–Yamuna Doab → middle Ganga (Kuru–Pañchāla → Kosala/Videha).</t>
  </si>
  <si>
    <t>Kuru &amp; Pañcāla: Prestige declines; integrated by neighbors and later Mauryas.</t>
  </si>
  <si>
    <t>across the Indo-Gangetic plain and parts of present-day Bihar, Uttar Pradesh, Bengal, Punjab, Rajasthan, and western India. Key realms: Magadha, Kosala, Vatsa, Avanti, Vajji, Kuru, Panchala, Gandhara, Matsya and others.</t>
  </si>
  <si>
    <t>Burrials</t>
  </si>
  <si>
    <t>Matsya: Subsumed amid Kośala/Avanti pressures; later Mauryan.</t>
  </si>
  <si>
    <t>Core geography: Lower Tāmiraparani basin and delta (Thoothukudi–Tirunelveli), early port Korkai and coastal lagoons of the Gulf of Mannar; hinterland rising to the Agastyamalai / Western Ghats.
Attested: Dense early complex society at Adichanallur (urn-burials, habitation) ~900–700 BCE; repeated later finds in the delta.
Reasoned: A maritime–riverine chiefdom cluster pivoting on fisheries/pearls + rice hinterland, linked by Ghats passes to the Deccan.</t>
  </si>
  <si>
    <t>Food Habits</t>
  </si>
  <si>
    <t>Core zone: Malabar/Chera coast from Kasaragod → Kollam, plus the Palakkad (Palghat) Gap and Kongu–Anamalai fringes; interior hill belts of the Western Ghats.</t>
  </si>
  <si>
    <t>Sūrasena (Mathurā): Taken in larger unifications (Mauryan).</t>
  </si>
  <si>
    <t>Relationship with animals</t>
  </si>
  <si>
    <t>Core geography: Lower–middle Kāvēri (Cauvery) basin: Uraiyūr/Woraiyur–Tiruchy inland ridge → delta distributaries (Kollidam, Vennar, Pamani, Arasalar) → Coromandel estuaries. [ATT]
Backlands: Kongu (upper Kāvēri–Noyyal–Bhavani) as upland resource/craft zone (iron, beads, timber corridors). [ATT]
Neighbors: West—Chera hill/Gap routes; South—Pandyan Vaigai–Tamiraparani; North—Kaveri–Palar coast belts. [INF]</t>
  </si>
  <si>
    <t>Avanti: Rival to Magadha; Śiśunāga defeats/annexes.</t>
  </si>
  <si>
    <t>Token Type</t>
  </si>
  <si>
    <t>Place of Women</t>
  </si>
  <si>
    <t>Gandhāra: Falls to Achaemenids; later Mauryan.</t>
  </si>
  <si>
    <t>Card</t>
  </si>
  <si>
    <t>Rivers, Mountain Ranges, Other Natural Resources</t>
  </si>
  <si>
    <t>Token</t>
  </si>
  <si>
    <t>Kamboja: NW republic/oligarchy; eclipsed under Achaemenid→Mauryan.</t>
  </si>
  <si>
    <t>Livelihood</t>
  </si>
  <si>
    <t>Point</t>
  </si>
  <si>
    <t>Kacchi (Kachi) Plain on the Bolan River; Mehrgarh sits by the mouth of the Bolan Pass. Other drainages in the wider province include Nari, Zhob/Quetta basins.
Sulaiman system (incl. Central Brāhui Range), with key gateways Bolan, Harnai, Mūla—the classic east–west corridors between the Iranian plateau/Afghanistan and the Indus plains.
Early copper (small items at Mehrgarh), stone (flint/chert, limestone), bitumen-lined baskets, and abundant shell used for bangles (marine shell brought inland).</t>
  </si>
  <si>
    <t>Assaka (Aśmaka): Southern outlier; later overshadowed by post-Mauryan Deccan polities.</t>
  </si>
  <si>
    <t>Banas and tributaries (Berach, Ahar; also Kothari/Gambhiri/Khari valleys hosting many sites).
Aravalli Range foothills (Mewar); rolling river plains opening to copper district
Copper ores of the Aravalli/Khetri belt (smelting debris at Ahar-area sites); alluvial clays for Black-and-Red Ware; mixed farming soils (wheat/barley), local stone for querns; proximity to additional Pb-Zn-Ag belts in the Aravallis.</t>
  </si>
  <si>
    <t>Ghaggar-Hakra Heartland — Most Haryana sites sit on the Ghaggar-Hakra (Sarasvati/Drishadvati) system, from early village phases to big towns.
Siwalik foothills margin; SW: brush with Aravalli spurs; broad alluvial plains in between.
Rich alluvium &amp; groundwater along abandoned river belts; ready brick-clay; nearby access to Aravalli/Khetri copper via overland corridors; riparian reeds/timber; local gravels/sand for construction.</t>
  </si>
  <si>
    <t>Agriculture</t>
  </si>
  <si>
    <t xml:space="preserve">The Indus and its five main Punjab tributaries—Jhelum, Chenab, Ravi, Beas, Sutlej—plus the Ghaggar–Hakra system on the SE flank
; interior alluvial plains and riverine levees
</t>
  </si>
  <si>
    <t>Upper Krishna system and tributaries—Tungabhadra, Bhima, Hagari—define the Southern Neolithic heartland (Bellary–Raichur–Koppal)
Deccan plateau of Archaean granite; inselberg belts like Sanganakallu–Kupgal; red sandy soils from weathered granite (good for seasonal farming/pasture).
Granite/dolerite quarries for ground-stone axes;
widespread chert/quartz pebbles for microliths
limited early metals</t>
  </si>
  <si>
    <t>Using Animals</t>
  </si>
  <si>
    <t>per Empire</t>
  </si>
  <si>
    <t>Krishna system—Tungabhadra, Bhīma, Hagari; Godāvari headwaters &amp; tributaries in Telangana; Cauvery, Amarāvati, Bhavānī, Vaigai in TN; west-flowing short rivers in coastal Karnataka/Kerala.
Deccan granite/gneiss plateau with inselbergs (e.g., Sanganakallu–Kupgal); Eastern Ghats spurs (AP/Telangana/TN); Western Ghats (Kerala/TN/Karnataka). Palghat Gap = key low pass TN↔Kerala.</t>
  </si>
  <si>
    <t>Trade</t>
  </si>
  <si>
    <t>Indus system; Sarasvati/Drishadvati (Ghaggar–Hakra), Sindhu’s tributaries; Yamun - early, late -Ganga, Yamuna, Sarayu, Gandak
Hindu Kush/Sulaiman (NW), Siwalik foothills, Aravalli (SE margin).</t>
  </si>
  <si>
    <t>Mining</t>
  </si>
  <si>
    <t>Rivers: Ganga, Yamuna, Sarasvati (then still flowing in some stretches), Ghaghara, Son.
Mountains: Himalayan foothills to the north; Vindhyas to the south of the Gangetic plain.
Resources: fertile alluvial soil, iron ore deposits in Magadha and eastern India, dense forests for timber and elephants.</t>
  </si>
  <si>
    <t>Education</t>
  </si>
  <si>
    <t>Rivers: Tāmiraparani (perennial headwaters in Ghats), Vaippar, seasonal streams—ideal for small tanks, bunds, and levees.
Marine: Pearl and chank banks off the Mannar coast; mangroves, backwaters, sea grass beds (fish nurseries).
Upland: Hardwood forests, elephants, bamboo, honey/wax, medicinal plants; iron laterite in pockets; abundant fuel wood for smelting.
Reasoned: A two-ecology economy—delta rice + coastal–marine extraction—already integrated by 700–600 BCE.</t>
  </si>
  <si>
    <t>Others</t>
  </si>
  <si>
    <t>Rivers: Periyar, Bharathapuzha (Nila), Pamba, Chaliyar, Nethravathi—short, fast rivers with bar-built mouths; great for timber floatation and pepper transport.
Resources: Pepper/cardamom, wild elephants, high-value timber (teak, blackwood), bamboo, honey/wax, ivory, laterite iron pockets, fish/pearls (limited vs. Gulf of Mannar but present north of Kozhikode).</t>
  </si>
  <si>
    <t>Architecture</t>
  </si>
  <si>
    <t>Rivers: Kāvēri + distributaries (reliable irrigation); seasonal tanks/bunds as local reservoirs. [ATT]
Ranges: Eastern spurs of the Western Ghats edge the Kongu backland (timber, bamboo, elephants). [ATT]
Resources: Alluvium (paddy), laterite (brick), iron nodules/ore pockets (Kongu), beach salt pans, estuary fish/shellfish, palmyra/coconut.</t>
  </si>
  <si>
    <t>Housing - layout, materials</t>
  </si>
  <si>
    <t>Drainage</t>
  </si>
  <si>
    <t>Season Planner — Life followed seasons: sow, herd, harvest, rebuild.
House Burials — Family members were buried inside or next to houses—ancestors stayed close.
Child Care — Special infant/child burials hint at care and community.</t>
  </si>
  <si>
    <t>Storage</t>
  </si>
  <si>
    <t xml:space="preserve">Agro-Pastoral Life — People farmed grains and kept cattle, sheep, and goats—farming plus herding.
These are fortified villages and towns
Village Networks — Strength came from many linked villages, not a single capital.
Burials — Primary/secondary burials documented; grave goods occur, but no large cemeteries like the Indus.
</t>
  </si>
  <si>
    <t>Community Spaces</t>
  </si>
  <si>
    <t>Rakhigarhi Cemetery — Primary and secondary burials; no script in graves;
 Early phases saw pastoral and agricultural villages. Later, significant urbanization with advanced town planning</t>
  </si>
  <si>
    <t>Villages revolve around cattle keeping (milk, manure, traction later)</t>
  </si>
  <si>
    <t>Planning</t>
  </si>
  <si>
    <t>Marked on the map</t>
  </si>
  <si>
    <t>Agro-pastoral villages wrapped around stock-pens;
Burials go monumental: cists, dolmens, stone circles, cairns; grave goods = pots, iron objects, beads—clear status range.
stone burial monuments (cists/dolmens/stone circles) as lineage/territory markers.</t>
  </si>
  <si>
    <t>Monuments</t>
  </si>
  <si>
    <t>Player Token</t>
  </si>
  <si>
    <t>Early: Pastoral–agro-pastoral (cattle at the center), scattered villages.
South Asia de-urbanized after the Indus cities, and the Vedic world is chiefly village-based.</t>
  </si>
  <si>
    <t>4 colours</t>
  </si>
  <si>
    <t>Temples</t>
  </si>
  <si>
    <t>Urbanisation accelerating: fortified cities, bustling market towns (nigamas), growing class of merchants and artisans.
Iron &amp; rice revolution: Widespread iron tools (NBPW horizon) + wet-rice agriculture in the Gangetic plains → surplus → towns → states.</t>
  </si>
  <si>
    <t>Palaces</t>
  </si>
  <si>
    <t>Villages &amp; hamlets: Flood-safe mounds near fields; fishing/diving hamlets along creeks; craft hamlets (shell-working, pottery) at lagoon edges.
Mortuary landscapes: Urn-burial fields with grave goods (iron blades, beads, ornaments) sitting just outside habitation.
House forms: Timber posts, wattle-and-daub, thatch; raised floors or stone plinths where floods frequent; wind-open plans near the coast.
Reasoned: Early neighborhood specialization—cultivation wards inland; fisher-diver wards toward the coast; shared shrines/trees at threshol</t>
  </si>
  <si>
    <t>Habitations: Ridge-top and spur villages near water sources; flood-safe hamlets on river terraces; port hamlets at estuaries (sandbars/creeks).
House forms: Timber-post, wattle-and-daub, thatch; plank floors on wet ground; smoke-cured lofts for pepper and fish (reasoned).
Subsistence: Hill-slope millets/tubers, river-valley rice, forest foraging; fishing, small offshore canoeing; early spice-garden style cultivation around trees.</t>
  </si>
  <si>
    <t>River</t>
  </si>
  <si>
    <t>Tools</t>
  </si>
  <si>
    <t>Settlement fabric: Flood-safe hamlet mounds; inland market-nodes (Uraiyūr ridge), delta farm villages; estuary landings with boat stands and fish-smoke sheds. [ATT]/[INF]
Household economy: Mixed paddy + millets + livestock; seasonal fishing; household weaving; communal tank work. [ATT]/[INF]
Time-use: Monsoon-tied sowing/harvest; dry-season tank desilting; post-harvest fairs; fish/salt cycles on the coast. [INF]</t>
  </si>
  <si>
    <t>Crafts</t>
  </si>
  <si>
    <t>Culture, God, Rituals</t>
  </si>
  <si>
    <t>Figurines — Clay figurines (often female) appear—maybe fertility,</t>
  </si>
  <si>
    <t xml:space="preserve">Cattle were extremely important, not just for sustenance but also possibly religious significance (bull figurines). </t>
  </si>
  <si>
    <t>Dung = fuel and ritual material; burning it builds the ashmounds that define the culture.</t>
  </si>
  <si>
    <t>Pantheon: Indra, Agni, Soma, Varuṇa, Mitra, Aśvins, Uṣas, Savitṛ, Rudra, etc.
Core rites: Fire sacrifices (yajña), Soma pressing, household gṛhya rites; later large śrauta rituals (aśvamedha, rājasūya) for chiefs.
Ethos: Ṛta → Dharma, dāna (gifts), dakṣiṇā, gotra lineages; varna crystallizes late
Cow and horse are sacralized in texts
Brick/earthen fire-altars with precise geometries (Late Vedic ritual science).</t>
  </si>
  <si>
    <t>Art, Crafts, Tools, Tech, Inventions, Advances, Scriptures, Books, Language -symbols, scripts, Music</t>
  </si>
  <si>
    <t>Vedic deities (Indra, Agni, Varuna) still worshipped, but early forms of Jainism and Buddhism rising.
Śramaṇa movements promoted renunciation and philosophical debate.
Yajñas (Vedic sacrifices) persisted alongside new ascetic rituals.
Varna norms consolidating, but frontier and trade zones were fluid; śramaṇa movements (Buddhist, Jain, Ājīvika) challenged ritual orthodoxy.
"Śramaṇa ferment: Buddhism and Jainism both crystallize here (especially in Magadha/Kośala/Videha zones).
Vedic–Upaniṣadic streams continue (Kuru-Pañcāla heartlands).
Centers of learning: Takṣaśilā (Gāndhāra), Ujjayinī, Kauśāmbī, Vaiśālī, Rājagṛha/Pāṭaliputra.
Languages/scripts: Middle Indo-Aryan vernaculars (Magadhī, Ardhamāgadhī, Śaurasenī, etc.); early Brāhmī/Kharoṣṭhī epigraphy ramps up slightly later (Achaemenid/early Mauryan horizon)."</t>
  </si>
  <si>
    <t>Mortuary rite: Urn-burial with offerings (weapons, ornaments, food), pointing to ancestor veneration and belief in provision for the dead.
Nature cults: River-mother, lagoon guardians, hill-gods, tree shrines; possession/healing rites; first-fruits and first-catch rituals.
Incoming śramaṇa: By late in this window, Jaina monks receive cave-endowments from Pandyan authority—plural religious field is in place.
Reasoned: Sea-rites (abstinence days before diving, taboos at banks); smiths’ fire rituals; rain-invoking village festivals.</t>
  </si>
  <si>
    <t>Megalithic mortuary: cists/cairns/urns with grave goods → ancestor veneration.
Nature cults: Hill/river/forest guardians, serpent groves; rain/monsoon propitiations; first-fruits/first-pepper rites (reasoned).
Śramaṇa horizon (just budding): By the end of the window, Jain/Buddhist itinerants likely traverse the Gap routes; robust epigraphy is later.</t>
  </si>
  <si>
    <t>Cult base: Ancestor veneration (megalithic urns/cists nearby), river/grove/field guardians, oath-stones at markets. [ATT]
Agro-rituals: First-rice and new-grain feasts; bund-opening rites; ferry/ford propitiations. [INF]
Possession/healing: Grove ceremonies, drum-trance, vow offerings (grain, oil lamps). [INF]
Śramaṇa drift (late): Jain/Buddhist itinerants via Kongu–Gap routes by 4th–3rd BCE; organized endowments become clear slightly later. [INF]</t>
  </si>
  <si>
    <t>Ores</t>
  </si>
  <si>
    <t>Food</t>
  </si>
  <si>
    <t>Barley Boss — Barley was the main crop from the start.
Wheat Walks In — Wheat arrived later, likely from the west (Iran).</t>
  </si>
  <si>
    <t>Crops (Balathal evidence) — Wheat, barley, lentils, peas, millets, jujube, okra, Job’s tears reported from Balathal levels.
Hunting &amp; fishing — Wild animals plus aquatic/avian resources supplemented the diet.</t>
  </si>
  <si>
    <t>Diet in Pots — Lipid residues from Indus pottery around Rakhigarhi/Farmana show animal fats/dairy processing—what people actually cooked.</t>
  </si>
  <si>
    <t>Indigenous crop kit — Early farming leans on small millets (e.g., browntop, little, kodo) and pulses (horsegram, mung), plus foraging. (Rice is negligible this early here.)</t>
  </si>
  <si>
    <t>Millets + pulses stay central
rice appears more often in wetter TN/Kerala pockets toward the end
Dairy from cattle
sheep/goat meat
fish/small game by locale</t>
  </si>
  <si>
    <t>Middle/Late: More plough agriculture,
Barley (early mainstay), wheat, later millets and rice (more common by Late Vedic east
Milk, ghee, curds; meat (including cattle in early Vedic; attitudes vary by context/period).
Honey, clarified butter; beer-like sura (distinct from Soma).</t>
  </si>
  <si>
    <t>Platue</t>
  </si>
  <si>
    <t>Agriculture (rice, barley, pulses) combined with extensive craft production.
Rice, barley, wheat; milk and dairy products; lentils, vegetables, fruits; meat consumed by some though Jain and early Buddhist communities promoted vegetarianism
Agriculture: Plough-based cereals (esp. rice), pulses, cane, oilseeds; irrigation works.</t>
  </si>
  <si>
    <t>Governance</t>
  </si>
  <si>
    <t>Crops: Lowland rice; upland millets (kodo, little, foxtail), sesame, pulses; plantains and tubers near streams.
Protein: Marine fish, shellfish, lagoon crabs, occasional game; cattle/goat milk; palm toddy; sea salt from pans.
Storage &amp; cooking: Tall storage jars, pit silos, bamboo baskets; clay griddles and hearths.
Reasoned: Seasonal risk-spreading: rice + millets + marine protein cushions monsoon variability.</t>
  </si>
  <si>
    <t>Routes</t>
  </si>
  <si>
    <t>Grains &amp; staples:
Attested/Regional: Valley-floor rice; upland millets (little/foxtail/kodo); tubers (yam, taro).
Reasoned: Early plantain/banana patches along streams; jackfruit as drought buffer; coconut and arecanut edging into coastal groves.
Proteins:
Attested/Regional: River/estuary fish, shellfish, crabs; cattle/goat milk and occasional meat; wild game (boar, deer) from Ghats.
Reasoned: Dried fish and salted fish as inland trade staples.
Condiments &amp; cash crops:
Attested/Regional: Pepper (hill-slope vines), forest honey/wax, ginger/turmeric pockets.
Reasoned: Early cardamom handling in minute quantities.
Processing &amp; storage:
Attested/Regional: Par-boiling rice; shade-drying pepper; smoke-curing fish; clay ovens/griddles.
Reasoned: Palm toddy tapping; pickle/salt curing in ceramic jars.</t>
  </si>
  <si>
    <t>Staples: Irrigated rice (delta), little/foxtail/kodo millets (dry belts), pulses, sesame. [ATT]
Proteins: River/estuary fish, shellfish; cattle/goat milk; occasional pork/venison in uplands. [ATT]/[INF]
Processing: Par-boiling and drying rice; pickling vegetables/fish; salt curing; toddy tapping; sesame oil presses. [ATT]/[INF]</t>
  </si>
  <si>
    <t>Animals - Uses, Worship, Friendships</t>
  </si>
  <si>
    <t>Herding 101 — People herded zebu cattle, sheep, and goats.</t>
  </si>
  <si>
    <t>Sheep and goats were also domesticated.</t>
  </si>
  <si>
    <t>Forest</t>
  </si>
  <si>
    <t>Animal Worship, Domestication</t>
  </si>
  <si>
    <t>Cattle dominate; sheep &amp; goats present. Emphasis is on herding + dairying, not big ploughed fields yet</t>
  </si>
  <si>
    <t>dogs as camp followers
Cattle for milk/manure/traction; sheep/goats for meat/fiber</t>
  </si>
  <si>
    <t>Cattle for wealth, traction, dairy; horses for chariots; sheep/goats for meat/wool; dogs as camp/guard.
Dogs appear as camp followers</t>
  </si>
  <si>
    <t>Elephants for warfare and royal processions; horses for cavalry and chariots; cattle for agriculture and ritual wealth; monkeys and other animals appear in early Buddhist and Jaina stories as moral exemplars.</t>
  </si>
  <si>
    <t>Work: Oxen for plough and cart; donkeys/pack cattle on rough Ghats paths; dogs as herding/guard.
Symbolic &amp; economic: Conch (chank) and pearl as status and ritual media; elephant habitat close (capture limited but present); cattle central to wealth and ritual.
Reasoned: Sea-craft totemism (tutelary deities for banks, “sea-mother” motifs), alongside hill/forest guardians in the Ghats.</t>
  </si>
  <si>
    <t>Sites</t>
  </si>
  <si>
    <t>Work &amp; economy:
Attested/Regional: Cattle (plough, cart), buffalo (wet-field traction), goats (browsing), elephants (forest haul, prestige), dogs (guard/herding).
Reasoned: Mahout (elephant-handler) lineages as early specialist guildlets.
Ritual &amp; regard:
Attested/Regional: Serpent-groves (nāga worship) and tree/river guardians; elephant/boar in hill cult iconography.
Reasoned: Fish/river taboos before monsoon runs; oath-stones tied to cattle protection.
Human–animal bonds:
Reasoned: Long-term mahout–elephant pairings; fisher families pass down net-mending and lagoon knowledge with boat-dogs present at landings.</t>
  </si>
  <si>
    <t>deal 10 cards per player</t>
  </si>
  <si>
    <t>Work: Cattle/buffalo for plough and traction; pack cattle on Kongu paths; donkeys locally; dogs for guard/herding. [ATT]/[INF]
Symbolic: Cattle central in exchange and ritual; fish as taboo/feast cycles; grove/river totems. [INF]
Bonds: Herding lineages; fisher clans with boat-dogs; itinerant mahouts where elephants transit from Western Ghats. [INF]</t>
  </si>
  <si>
    <t>Desert</t>
  </si>
  <si>
    <t>Architecture, Housing, Drainage, Storage, Monuments, Buildings</t>
  </si>
  <si>
    <t>Mud-Brick Homes — Houses were built from sun-dried mud bricks, cool in summer, warm in winter.
Storage Cells — Homes had little storage rooms to protect grain.
Hearth Life — Cooking happened at fixed hearths; smoke meant preserved food and fewer pests.
Querns &amp; Mortars — Grinding stones turned barley into flour daily.
Plaster &amp; Repair — Floors got mud or lime plaster; houses were rebuilt again and again, forming mounds (“tells”).
Pest Control — Bins and sealed pits kept mice out of grain (mostly).</t>
  </si>
  <si>
    <t>House Materials — Homes built with mud-brick; some sites also used burnt brick in parts.
Planning &amp; Walls — At the big site Gilund, long parallel buildings, work areas, trash heaps, and an outer wall show planning and defense.
Villages with multi-roomed rectangular or circular mud-brick/stone structures. Evidence of communal living spaces. 
resilient agricultural practices in a semi-arid region,</t>
  </si>
  <si>
    <t>Roll dice - land on a time period</t>
  </si>
  <si>
    <t>Rakhigarhi City Planning — Evidence of fortification, brick drains, paved streets, water storage,
house plans showing post-urban continuity.
Bhagwanpura Overlap — At Bhagwanpura (Kurukshetra), Late Harappan layers overlap with early PGW; large houses, fired bricks (possibly early Vedic altar use).
 sophisticated drainage and water managemen
, public and private baths</t>
  </si>
  <si>
    <t>Health</t>
  </si>
  <si>
    <t>houses cluster near stock pens.
Wattle-and-daub / mud walls, hard-packed floors; small compounds around pens.</t>
  </si>
  <si>
    <t>Soil Type</t>
  </si>
  <si>
    <t>Houses in wattle-and-daub/mud, hard floors, outdoor work areas with querns and hearths.
Post-holes, reed/wood frames, daubed walls, thatch; later, some stone in foundations in rocky zones.
Bins, pits, large jars inside compounds; occasional silos/raised platforms; granary-like rooms at some sites.</t>
  </si>
  <si>
    <t>denser villages/town beginnings
Wattle-and-daub, thatch, timber posts; courtyards; storage bins/pots.</t>
  </si>
  <si>
    <t>Decline</t>
  </si>
  <si>
    <t>Fortified cities with mud and brick ramparts, wooden palisades.
Houses of mud-brick or timber; some multi-roomed with wells and rudimentary drains.
Granaries for surplus grain; early stupa forms emerging in Buddhist sites.
Fortified nigamas (market towns) and nagaras (cities); caravanserais; regulated markets.</t>
  </si>
  <si>
    <t>If p1 doesnt have a card from the time period - insert one card back into the deck in a random place &amp; pick the top card</t>
  </si>
  <si>
    <t>If still no card from the time period, lose turn</t>
  </si>
  <si>
    <t>Housing: Post-and-beam with thatch; wind-scooping verandas; lime-washed floors in better homes.
Water: Small earthen tanks, diversion bunds, field channels; village ponds; embanked wells in sandier belts later in the window.
Drainage: Sand-lined soak pits; open street drains in bigger villages (formal masonry drains belong mostly to the early-historic cities).
Monuments: Cairns/menhirs/urn-fields; ancestor-stone precincts; wayside shrines; later, rock shelters with donative inscriptions (toward 2nd–1st BCE).</t>
  </si>
  <si>
    <t>House types:
Attested/Regional: Timber-post + wattle-and-daub, heavy thatch; raised plinths or stilted corners on wet ground; deep eaves for rain.
Reasoned: Split-level lofts for pepper drying; lime-washed clay floors in wealthier homes.
Water &amp; drainage:
Attested/Regional: Small earthen tanks, bunds on streams; soak-pits; open side drains in larger hamlets.
Reasoned: Laterite-lined runnels guiding monsoon flow away from courtyards.
Storage:
Attested/Regional: Big ceramic jars, woven bamboo bins, pit-silos on higher patches; covered salt and dried-fish sheds near bars.
Monuments &amp; public:
Attested: Megalithic cists/cairns/urn-fields near habitations; wayside oath-stones; landing-bar log frames and ferry-stages at estuaries (proto-port fabric).
Reasoned: Community pepper-smoke sheds; timber stockades on ridge-spurs guarding passes.</t>
  </si>
  <si>
    <t>Houses: Timber posts, wattle-and-daub, heavy thatch, deep eaves; raised plinths on flood-prone ground; lime-washed floors in wealthier homes. [ATT]/[INF]
Water works: Earthen tanks, distributary field-channels, spill-weirs; communal desilting; small check-dams in upper reaches. [ATT]/[INF]
Drainage: Street-side open drains in larger hamlets; soak-pits; sand filters near wells. [INF]
Storage: Big ceramic grain jars, pit silos; salt sheds and fish-smoke racks on sandbars; rope-net lofts for drying. [ATT]/[INF]
Monuments: Megalithic urn/cist/cairn fields at settlement margins; market oath-stones; simple stockades at ferry heads. [ATT]/[INF]</t>
  </si>
  <si>
    <t>p1 plays a card from the time period</t>
  </si>
  <si>
    <t>Art, Crafts, Tools, Tech, Inventions, Advances, Scriptures, Books, Language -symbols, scripts, Music, Medcine, Artefacts</t>
  </si>
  <si>
    <t>6 time periods</t>
  </si>
  <si>
    <t>50 empires</t>
  </si>
  <si>
    <t>19 categories</t>
  </si>
  <si>
    <t>Basket Tech — Before jars were common, baskets were the go-to containers.
Pottery Arrives — After centuries, coarse pottery appears; later it’s painted and prettier.
Basket-Impressed Pots — Early pot bottoms kept basket textures—a tech hand-off from baskets to clay.
Painted Geometry — Simple lines, triangles, and bands decorate early bowls and jars.
Hotter Kilns — Better firing made pots harder and colors sharper—tech leveled up.
Copper Begins — People made small copper beads/tools—the metal age whispering in.
Oldest Cotton — Tiny cotton fibers got preserved inside a copper bead—earliest Old-World cotton.
Stone &amp; Bone — Chert blades, bone points, and shell ornaments—the craft kit was diverse.
Tooth Drilling! — Earliest evidence of dentistry: tiny drilled cavities in living people’s teeth (experimental, rare).
Grave Goods — Burials sometimes had beads, pots, or animal pieces—small rituals, big meanings.
Figurines — Clay figurines (often female) appear—maybe fertility, maybe teaching, maybe play.
Kili Gul Muhammad Style — Early painted ware phase in the Quetta Valley—simple, deliberate designs.
Togau Style — Togau painted ware spreads—triangles, banding, tidy geometrics.
Kechi Beg Polychrome — Multi-color pottery appears—more colors, more confidence.
Faiz Muhammad Grey — Grey, well-smoothed wares—a new finish and feel.
Quetta Black-on-Buff — Bold black designs on buff clay—iconic mid-3rd-millennium look.
Nal Polychrome — At Nal, polychrome pots show complex geometrics and animals—serious swagger.
Damb Sadaat Horizon — Settlements and crafts in Quetta Valley consolidate—a recognizable regional scene.
Shell Bling — It means marine shells from the Arabian Sea were carried hundreds of kilometres inland to places like Mehrgarh, then turned into beads.</t>
  </si>
  <si>
    <t>Grinding Everything — Querns and grinding stones are everywhere
Black-and-Red Ware — Their trademark pottery: black top, red bottom, often with white painted lines/dots.
Copper Culture — They worked copper: tools, ornaments, and plenty of slag from smelting have been found.
Early Smelting Hubs — Near Ahar, places like Matoon and Umra show copper smelting evidence.
Craft Zones — Work areas at Gilund show small-scale craft production inside the settlement.
Seal Impressions Cache — Gilund yielded hundreds of clay seal impressions
Motifs: Simple geometric designs—grids, cross-hatching, parallel lines/bands, chevrons/lozenges, circles/rosettes (no Indus texts). Scholars note close parallels to Indus (Jhukar/late) and BMAC (Central Asian) geometric glyptic. Bottom line: shared visual admin language, not writing.
terracotta bulls/cows, copper tools, beads
Shapes — Bowls, bowls-on-stands, elongated vases, globular jars (range is limited but distinctive).
Kilns &amp; firing — Controlled firing to produce the two-tone BRW look and tougher vessels (tech competence implied).
beads of semi-precious stones</t>
  </si>
  <si>
    <t>Indus sign system (seals, tablets, graffiti). It’s still undeciphered, but it’s a conventional symbol system used across the urban zone.
Harappans specialize in urban craft admin;</t>
  </si>
  <si>
    <t xml:space="preserve">bronzework, and varied jewelry
moulded bricks, early seals, copper tools, rich bead
Mitathal &amp; Balu — Late Harappan village/town sites in Haryana with ceramics
Terracotta Plough at Banawali — A complete plough model from Banawali
Crafts Everywhere — Beads (semi-precious), copper/bronze working, shell, ceramics across Haryana’s Indus sites; urban ones show planned blocks.
Ochre-Coloured Pottery (OCP) spreads across the upper Doab/NE Rajasthan/Haryana around 2000–1500 BCE.
Copper-Hoards — In southern Haryana/northern Rajasthan, hoards include flat axes, harpoons, double axes, antenna-hilted swords—often tied to OCP contexts
Painted Grey Ware (PGW) spreads through Ghaggar-Yamuna region c. 1200–600 BCE; thin grey pottery with black painted geometric bands.
- 'fish-scale' and 'pipal leaf' motifs </t>
  </si>
  <si>
    <t>handmade pottery
ground-stone axes
querns/mortars
At Kupgal (near Sanganakallu, Karnataka) there are granite boulders with shallow cup-marks that ring like a gong when struck with a stone. Archaeologists call these “rock gongs.”
petroglyphs (carvings) of long-horn cattle and herders. The pairing—ringing stones + cattle art—strongly suggests ritual/herding ceremonies where people literally played the rocks.</t>
  </si>
  <si>
    <t>ron shows up in everyday kits: knives, points, sickles (later plough bits)
Black-and-Red Ware (BRW) and fine red wares spread
more wheel-made forms
Weapons in graves (spear/dagger/arrowheads)
Long-horn cattle in petroglyphs
Petroglyphs (cattle/herders, cup-marks)
simple pottery decoration; beadwork.
sparse copper/bronze early; iron smelting/forging by ~1200 BCE</t>
  </si>
  <si>
    <t xml:space="preserve"> iron tools, 
Texts (oral): Ṛgveda → Sāma/Yajur/Atharva, Brāhmaṇas, Āraṇyakas, early Upaniṣads (late end)
Vedic Sanskrit (no indigenous script used for Vedic recitation; transmission is oral)
Sāman chants; vīṇā referenced; prosody (chandas) highly developed
Copper/bronze tools; iron enters Late Vedic; spoked-wheel chariots; ploughs, sickles, textiles; PGW pottery in Late Vedic Ganga-Yamuna.
Early ritual healing; systematic Ayurveda texts are later/classical
culture privileged flawless memorization (meter, pitch, accent) and saw writing as unnecessary/possibly improper for sacred recitation.
specializes in ritual science, prosody, memory, philosophy
"Late Vedic - Philosophy: early Upaniṣads (late Vedic).
Math/geometry: Śulba Sūtras (altar geometry → proofs, approximations like √2).
Grammar/linguistics: peaks later with Pāṇini (post-Vedic, c. 4th c. BCE).
Ethics/statecraft, medicine: crystallize in the early historic age from older strands."
Nakṣatras (27 lunar mansions) used to track the Moon and mark time.
Luni-solar calendar: intercalary months to keep lunar months in step with the seasons.
Ritual astronomy: observations timed to dawn/twilight, solstices/equinox-like points (for altar rites and seasonal sacrifices).
Constructing right angles with cords.
Pythagorean triples and area-preserving transforms (e.g., make a square equal in area to a rectangle).
A remarkably good approximation to √2.
Phonetics &amp; accent (Śikṣā): precise description of sounds and pitch for flawless recitation.
Metrics (Chandas): strict analysis of syllable lengths and patterns (that’s data discipline).
Early grammar thinking: the seeds that later bloom into Pāṇini (post-Vedic).
Ritual healing and practical remedies appear; the full medical compendia (Caraka, Suśruta) are later but draw on older streams.
Sāman chants with precise melodic rules; instruments like the vīṇā referenced.
Upaniṣadic inquiry into self (ātman), cosmos (brahman), causality, knowledge—deep philosophical architecture, even without city plumbing.
Śūnya/ākāśa as ideas of emptiness/space become clearer toward late Vedic/Upaniṣadic thought
From the whole, if you take the whole, the whole remains. This is a metaphor of the infinite/complete, not set theory—but the intuition is unmistakable.
Kilns &amp; furnaces (late): Small pottery kilns, iron smelting/forging hearths become more frequent toward the end of the period in the Doab and further east.</t>
  </si>
  <si>
    <t>Iron technology (ploughshares, weapons) widespread.
Terracotta figurines, bead work, punch-marked coins.
Pali and early Prakrits in oral circulation; Brahmi script beginning to be used.
Early Ayurvedic traditions codifying herbal medicine; music and drama referenced in later texts like the Nātyaśāstra (roots in this period).
Crafts &amp; guilds: Metalwork (iron), ivory, textiles, beads, pottery (NBPW), shipbuilding in river ports (Campā, Tamralipti slightly later).</t>
  </si>
  <si>
    <t>"Metals: Iron (sickles, billhooks, knives, spearheads), occasional bronze/copper ornaments.
Ceramics: Black-and-Red Ware (BRW) as the horizon marker, with fine red wares; large jars for grain/liquids.
Marine crafts: Shell-cutting, bead-drilling, lime from shells; stitched-plank boats/dugouts; coconut-coir rope.
Textiles: Likely cotton weaving; plant dyes (indigo/madder) begin to appear by late Iron Age.
Art &amp; music: Carved bone/shell, simple metal figurines; drums/flutes from bamboo and gourd; dance/music at seasonal fish/pearl fairs.
Reasoned: Craft guildlets (proto-śreṇi) coalescing around pottery, shellwork, smithing; artists embedded in ritual cycles (first-catch, first-rice)."
"Speech world: Old Tamil (pre-literary), with dense ecological vocabulary (coast/lagoon/forest) that later Sangam poetry preserves.
Writing: Tamil-Brāhmī enters the region by 3rd–2nd BCE; earliest Pandyan royal name appears in cave donations (2nd–1st BCE).
Knowledge modes: Oral transmission—bards (pānar), healers, divers’ masters, smiths’ lineages; reckoning with stars/monsoon for sailing and sowing.
Reasoned: A proto-Sangam milieu: stable meters, praise/ethnographic poems existed orally before 300 BCE; the written canon is a later capture of older practice."</t>
  </si>
  <si>
    <t>Iron kit: Billhooks, adzes, sickles, spearheads; tree-surgery knives for spice vines; iron plough tips in better-off hamlets.
Forest crafts: Pepper curing (smoke, shade-dry), honey/wax extraction, bamboo weaving, ivory carving; boat-building with stitched planks and coir rope.
Ceramics: Black-and-Red Ware + sturdy red jars; fine slipped wares appear toward 300 BCE in richer nodes.
"Speech: Old Tamil/proto-Malayalam register continuum across Ghats; rich ecological lexicon (later Sangam preserves Malaināḍu/pepper-elephant imagery).
Writing: Local Tamil-Brāhmī shows up later (2nd–1st BCE/CE). In this window, it’s oral—bards (pānar), pass-guides, healers.
Arts: Drum/dance at markets, elephant-drive songs, bamboo flute; ivory/shell/wood carving motifs tied to hills and monsoon."</t>
  </si>
  <si>
    <t>Ceramics: Black-and-Red Ware (BRW) + fine red wares; large storage amphorae-like jars (local). [ATT]
Metals &amp; tools: Early iron kit—billhooks, sickles, adzes, spearheads, knives; forge-welding; riveted/stitched hardware for boats. [ATT]
Beads &amp; ornaments: Kodumanal-type bead drilling (agate/carnelian/glass later), copper/bronze ornaments, shell/ivory inlay. [ATT]
Boats: Dugouts and stitched-plank craft; coir rope; palm-mat sails for fair-season cabotage. [ATT]/[INF]
Textiles &amp; dyes: Cotton weaving; plant dyes (madder/indigo/turmeric); reed looms; palm-fiber ropes. [ATT]/[INF]
Music: Double-headed drums, frame drums, bamboo flutes; harvest and ferry-opening performances. [INF]
Medicine: Herb-lore (marsh/ghat plants), oil-massage, fumigations, midwifery, bone-setting; antiseptic salt–lime use. [INF]
Language &amp; writing: Spoken Old Tamil; Tamil-Brāhmī appears regionally by 3rd–2nd BCE (just after this window); oral praise/ethnographic poems already stable in meter and theme. [ATT]/[INF]
Scriptures/books: No local written canon yet; knowledge is oral (bards, healers, craft lineages). [ATT]/[INF]</t>
  </si>
  <si>
    <t>No Kings Here — These were villages, not empires. No palaces, no thrones, no written records.</t>
  </si>
  <si>
    <t>Village-level governance, possibly by elders or lineage heads. No evidence of a centralized state.</t>
  </si>
  <si>
    <t xml:space="preserve">Centralized, possibly priestly or merchant-led administration for urban centers. </t>
  </si>
  <si>
    <t>Village-level leadership; no palaces or bureaucracy. Cemeteries and megaliths imply lineage authority and status differences.</t>
  </si>
  <si>
    <t>Clan/tribal jana; villages grāma; people viś; rājan (chief/king)
sabha &amp; samiti; purohita (priest-adviser)
Territorial states (Kuru–Pañchāla, Videha, Kosala); more stratified varna order</t>
  </si>
  <si>
    <t>"Mix of monarchies (Magadha, Kosala) and oligarchic republics (gana–sanghas such as Vajji, Malla).
Monarchies: Magadha, Kośala, Vatsa, Avanti, Kāśi, Sūrasena, Matsya—run by a rājan with councils (amatyas).
Gaṇa-saṅghas (Republics): Vajji, Malla, Kamboja, parts of Kuru/Pañcāla—governed by assemblies of clan chiefs (rajakas/gaṇamukhyas), with deliberation, voting, embassies, and war decisions taken collectively.
Revenue: Land tax (typically a bhāga/share of produce), customs at city gates and river crossings, fines, forced labor in emergencies.
Bureaucracy: Amātya (minister), mahāmātra (overseer), spies/agents, guild liaisons.
Law &amp; councils: Sabhā (elite council), samiti (broader assembly) in older idiom; republican saṅgha proceedings were formal and recorded."
Councils (sabha, samiti) advised kings or managed republican affairs.
Regular taxation (often one-sixth of produce).</t>
  </si>
  <si>
    <t>900–600 BCE: Segmentary chiefdoms tied to river clusters and banks; councils of elders, ritual specialists; wealth from cattle, pearls, and grain.
600–300 BCE: Consolidation around Korkai–Madurai axis; route and tank maintenance become political capital; marriage alliances knit the delta and Ghats foothills.
By ~260–232 BCE: External testimony (Aśokan edicts) recognizes Pāṇḍyas as a kingdom outside Mauryan rule—administration has professionalized (scribes, tax-collectors, harbor overseers).
Reasoned: Early port-duty and ford-toll regimes; pearl bank regulation (seasons, quotas), fines for poaching banks or cutting bu</t>
  </si>
  <si>
    <t>600–450 BCE: Segmentary chiefdoms—forest-hill lineages command passes and elephant/pepper tracts; coastal chiefs control bars/landings.
450–300 BCE: Integrative compacts: pass-tolls, river-float rules, bar-mouth duties; ritual-political marriages knit hill/coast.
Signature capability by 300 BCE: Coordinating pass security + estuary customs + spice quotas—enough to be seen as Keralaputra externally soon after.</t>
  </si>
  <si>
    <t>600–450 BCE: Segmentary chiefdoms around tanks, ferries, and estuaries; elders’ councils; ritual specialists. [INF]
450–300 BCE: Consolidation along Uraiyūr → delta → estuary axis; regular ford/ferry tolls, bar-customs, tank-labor levies; scribal/calculation roles budding. [INF]
c. 260–232 BCE: Aśoka lists Cōḻa as outside Mauryan rule → a recognizable kingdom by the end of this period. [ATT]</t>
  </si>
  <si>
    <t>Bolan Pass Highway — The Bolan Pass linked the plains to highlands—perfect trade funnel.
Khojak Pass Link — The Khojak Pass connected Quetta to Kandahar/Mundigak (Afghanistan).
Makran Sea Gate — Makran coast fed shells and ideas inland.
Iranian Bridges — Pot styles and tech show links to Iranian plateau villages.
Helmand Friends — Connections reached Mundigak and Shahr-i Sokhta—Afghanistan/Iran neighbors.</t>
  </si>
  <si>
    <t>Rivers as highways: The culture sits on the Banas–Berach–Ahar river system in Mewar (SE Rajasthan). These valleys connect west/south-west toward Gujarat (Sorath/Harappan) and north-east toward the Aravalli copper belt.</t>
  </si>
  <si>
    <t>River Routes — Ghaggar-Hakra channel and its feeders knit sites like Rakhigarhi–Banawali–Bhirrana into one corridor</t>
  </si>
  <si>
    <t>Raichur–Tungabhadra inter-valley routes (stone, seed, animals);
 Eastern Ghats passes to coastal AP; Palghat Gap linking TN interior to Malabar (west coast).
By the late part of this window, material links with Sri Lanka start to show up</t>
  </si>
  <si>
    <t>Khyber/Bolan corridors (
Uttarāpatha (north road) along the plains; river routes Indus → Doab → Ganga.
Use of ghats (fords/steps); simple temporary bridges/rope ferries where traffic concentrates.</t>
  </si>
  <si>
    <t>Northern Uttarapatha and eastern Dakshinapatha trade routes connected the Ganga plain with the northwest (Gandhara) and the Deccan.
River routes on the Ganga and its tributaries.
: Uttarāpatha (NW–NE) and Dakṣiṇāpatha (N–S) supercharged long-distance trade.</t>
  </si>
  <si>
    <t>Sea &amp; coast (cabotage belt)
Korkai ⇄ Mannar banks ⇄ Rameswaram/Pamban ⇄ Nagapattinam
– Attested core: Korkai as the early port; Mannar as pearl/chank zone.
– Reasoned: Stitched-plank canoes and small sail craft run short hops along creeks and barrier islands; seasonal closures for rough seas and spawning; tolls at beach landings and creek mouths.
River–lagoon network (Tāmiraparani system)
Upper Ghats (Ambasamudram/Papanasam) ⇄ Tirunelveli ⇄ Korkai delta outlets
– Attested: Dense early activity in the basin (Adichanallur).
– Reasoned: Dugouts/bargelets ferry grain, salt, timber; ford-tolls and ferry dues at wide channels; grain measures and shell-lime traded inland.
Ghats passes (westward links)
Papanasam/Manjolai saddles → Kerala slopes (Tenmalai/Aryankavu line)
– Reasoned: Pack-cattle and pedestrian caravans haul pepper, bamboo, wax, honey westward; return with shell-lime/salt eastward. Way shrines mark night halts.
Overland trunk (northbound feeder to Dakṣiṇāpatha)
Korkai/Madurai plain → Viṭṭalapuram/Aruppukkottai ridge → Ramnad dry belt → Kaveri-Vaigai corridor → Deccan trunk
– Reasoned: Ox-carts on laterite spines; custom points at tank bunds and choke-points; this is how punch-marked silver and carnelian likely start trickling in late in the window.
Strategic choke-points to model: creek ferries, Ghats saddles, tank-bund crossings, and beach landings (all double as tax stations and ambush sites).</t>
  </si>
  <si>
    <t>Ghats corridors: Palakkad Gap (prime), Periya ghat lanes into Kodagu, Thamarassery and Aralam passes—pack cattle and pedestrian caravans.
River floats: Periyar/Bharathapuzha timber/pepper rafts down to estuaries in fair season.
Coastal cabotage: Dugouts and stitched-plank boats beach-land at sandspits; bar-mouth ferries act as toll points.
Kaveri link: Gap → Karur/Karuvūr (Vanchi) margin (later Chera political theatre) (reasoned placement for this window).</t>
  </si>
  <si>
    <t>Riverine spine: Upper Kāvēri ⇄ Uraiyūr ⇄ distributaries ⇄ coast (grain/fiber/seeds down; timber/stone/iron up). [ATT]
Kongu corridors: Bhavani–Noyyal tracks to Western-Ghats passes; overflow into Palakkad Gap (to Chera). [ATT]/[INF]
Coastal cabotage: Short-hop beach landings north–south along Coromandel; estuary bar-mouth ferries as toll points. [INF]
Doab connectors: Tracks to Vaigai markets and Dakṣiṇāpatha feeders. [</t>
  </si>
  <si>
    <t>Mehrgarh (Kachi Plain) — The anchor site (≈7000–2600 BCE): earliest farmers, mud-brick houses, house burials, pottery sequence, copper beads, oldest cotton, and tooth drilling.</t>
  </si>
  <si>
    <t>Gilund — Largest Ahar–Banas town: planned buildings, outer wall, craft areas, seal impressions; occupied c. 3000–1700 BCE.
Ahar (near Udaipur) — Namesake site; copper working and Black-and-Red Ware are classic here.
Balathal — Major town; yielded the leprosy skeleton and robust Chalcolithic levels.</t>
  </si>
  <si>
    <t>Rakhigarhi (Hisar)= Giant — Rakhigarhi (Hisar) was among the largest Indus cities
Bhagwanpura (Kurukshetra) — Late Harappan ↔ PGW overlap in one sequence.
Gujarat Link — To the south-west, exchange with Sorath/Harappan Gujarat via desert margins and river skirts. (Banawali forms echo Kalibangan/Gujarat.)</t>
  </si>
  <si>
    <t>Bellary–Raichur–Tungabhadra basins</t>
  </si>
  <si>
    <t>Place the flag for the empire played on the board map - flag for every first card played in a Empire</t>
  </si>
  <si>
    <t>Plateau and Ghats foothills across Karnataka, into Tamil Nadu and Kerala; river belts of Tungabhadra–Bhima and Cauvery–Vaigai.
Hallur (Karnataka): classic Neolithic→Iron transition; early iron and BRW on the Tungabhadra.
Brahmagiri (Karnataka): iconic stone circles (iron in graves).
Adichanallur (TN): huge urn-burial cemetery with BRW and iron implements (dates cluster around 1000–600 BCE in published work)</t>
  </si>
  <si>
    <t>Bhagwanpura (Haryana): Late Harappan ↔ PGW overlap.
Hastinapur, Ahichchhatra, Atranjikhera, Noh: PGW settlements (Late Vedic horizon).
Kurukshetra region: dense Late Vedic/PGW scatter.</t>
  </si>
  <si>
    <t>Key urban centres: Rajagriha, Pataliputra, Kaushambi, Sravasti, Ujjain, Takshashila.
"Rājgīr (Rājagṛha) ramparts; Pāṭaliputra wooden palisades and pillars (later Mauryan polish).
Kauśāmbī fortifications, coins, ring-wells.
Ujjain (Avanti) urban layers; Bairāt (Matsya) rock edicts slightly later.
Mathurā (Sūrasena) early coinage and terracottas.
Takṣaśilā (Sirkap, Bhir Mound) cosmopolitan strata from Achaemenid to Indo-Greek onwards."</t>
  </si>
  <si>
    <t>Palakkad Gap (strategic land route; toll node).
Muziris/Muchiri (Kodungallur estuary)—as a proto-port hamlet at this stage (later explodes in early centuries CE).
Naura (Kannur belt) &amp; Tyndis/Tondi (north Malabar)—bar-mouth beach-landings (proto-nodes).
Upper Periyar &amp; Anamalai slopes—elephant/pepper tracts; craft hamlets along spurs.
Bharathapuzha mid-valley—laterite megalithic fields (cairns/cists) near villages.
(Site names for ports become firm in early-historic texts; you can still plot the estuaries and passes confidently for 600–300 BCE.)</t>
  </si>
  <si>
    <t>Uraiyūr/Woraiyur (Tiruchy): Inland administrative/market mound on high ground; proto-capital tradition. [ATT]
Kodumanal (Kongu): Industrial hamlet—iron working and bead drilling with export links. [ATT]
Delta tank chains: Vennar/Kollidam villages with bunds, ferries, oath-stones; salt pans nearer coast. [ATT]/[INF]
Proto-Puhār zone: Estuary landings/beach-stores where Kāvēri meets the sea; fully urban identity comes later. [INF]</t>
  </si>
  <si>
    <t>Shells import from ?</t>
  </si>
  <si>
    <t>Ahar–Banas isn’t Indus, but interacted with it (design, trade, ideas).
Likely sources — Aravalli copper belts (e.g., Khetri region) supplied ore/metal to Ahar communities
Contact web — Harappan Gujarat (ceramics), Indus Punjab/Sindh (seal parallels), and Central Asia/BMAC (motifs) show real networks.</t>
  </si>
  <si>
    <t>Other players now have to play the same empire as P1</t>
  </si>
  <si>
    <t>Metal Sources — Many hoard metals likely draw on Aravalli/Khetri copper belts to the SW</t>
  </si>
  <si>
    <t>if they dont have the empire card, they insert one back &amp; pick top card</t>
  </si>
  <si>
    <t>if still no empire card, lose the turn</t>
  </si>
  <si>
    <t>Short/medium-range: Stone (dolerite/granite), querns, beads; seed stocks; animals.
Coastal links (late): Through Palghat Gap to Malabar; maritime grows after 800 BCE.</t>
  </si>
  <si>
    <t>Wider inter-regional exchange in the Doab; craft specialization grows; proto-markets appear.</t>
  </si>
  <si>
    <t>Flourishing internal trade in rice, textiles, iron goods; external trade to Central Asia and the Persian empire. Use of punch-marked silver coins.
Guilds (śreṇis): Self-regulated producers/traders—provided credit, maintained roads, sponsored monasteries.</t>
  </si>
  <si>
    <t>cards per timeperiod</t>
  </si>
  <si>
    <t>Internal: Rice ↔ fish/salt; upland honey/wax ↔ coastal lime; iron tools ↔ grain; shells to smiths for lime and ornaments.
External (late in window): Carnelian beads from Deccan, occasional northern metalwork; pearls already moving north/overseas at small scale; organized Indo-Roman flux comes later, but foundations lie here.
Reasoned: Seasonal fairs at tank bunds and beaches (post-harvest and after diving seasons) with music, wrestling, barter courts.</t>
  </si>
  <si>
    <t>Internal exchange: Rice ↔ hill goods (pepper, bamboo, wax, medicinal roots) ↔ coast (salt, fish).
Long-range (proto-stage): Palakkad Gap links Chera forests to Kongu/Kaveri towns; pepper/ivory move east; punch-marked silver and carnelian start trickling west (late in window).
Maritime: Cabotage (short hops) between Naura (Kannur area), Tyndis/Tondi (north Malabar), Muziris/Muchiri (Kodungallur) as proto-nodes (their famous names are attested later, but the estuary sites pre-exist).
Takeaway: By 300 BCE, an east–west (Gap) and north–south (coast) exchange lattice is mature enough to support a polity.</t>
  </si>
  <si>
    <t>Internal: Rice ↔ iron tools &amp; beads; salt/dried fish ↔ upland timber/honey/wax; sesame oil ↔ fiber/cloth. [ATT]/[INF]
External (proto): Agate/carnelian &amp; some metals via Deccan–Kongu; coastal hops to Pandyan/Chera ports; small trickle of punch-marked silver late. [ATT]/[INF]
Institutions: Bar/ford tolls, market-weighing stones, share contracts for ferries and salt pans; proto-guild compacts for smiths/bead-makers. [INF]</t>
  </si>
  <si>
    <t>Round is over when all players have had a turn (played or lost)</t>
  </si>
  <si>
    <t>Early dentistry at Mehrgarh (yes, really): drilled molars and premolars using bow-drills; evidence of bitumen fillings in some cases.
Injuries &amp; wear: herding and farming left joint stress; cuts and fractures show basic wound care.
Diet &amp; hygiene: cereals (wheat, barley), pulses, milk; more stone-ground flour = tooth wear and caries.
Healing toolkit: plant poultices, heat, splints; community midwifery. Formal medical texts are far in the future, but empirical care is visible in bones.</t>
  </si>
  <si>
    <t>Earliest Leprosy Evidence — A skeleton at Balathal shows leprosy by ~2000 BCE—the oldest confirmed case in India.</t>
  </si>
  <si>
    <t>ritual hygiene norms around fire/water.</t>
  </si>
  <si>
    <t>Ayurvedic medical practice taking shape; emphasis on hygiene and regulated diet in both Vedic and Sramana traditions.
Medical knowledge base: Late-Vedic/early Āyurveda milieu; Takṣaśilā known for instruction in medicine/surgery (proto-Suśruta tradition). Herbal pharmacopoeia, wound care, obstetrics noted in early texts.
Practitioners: Vaidyas (physicians), surgeons/barbers, midwives. Monastic communities kept infirmaries, regulated diet, and quarantine-like norms.
Public health: Urban ring-wells, drains, latrines appear in sites like Kauśāmbī; moat water management around ramparts; famine relief through royal granaries when functional.
Diet &amp; disease: Rice-based agrarian diet; fish along rivers; meat in some regions/classes. Endemic: water-borne illness, fevers, wounds, animal-related injuries; famine from monsoon failures or siege.
Institutions: Guild (śreṇi) charity &amp; monastery patronage funded rest houses, watering points, and patient care; royal edicts on market hygiene appear stronger in Mauryan phase but antecedents exist.</t>
  </si>
  <si>
    <t>Healers (vaidya equivalents): Herb-lore from Ghats; bone-setting; wound care for divers and hunters; midwives.
Risks: Water-borne disease in floods; malarial fevers in lagoons; ear/sinus issues for divers; animal injuries; snakebite.
Public health: Shared ponds protected by taboos; hearth ash and lime used as disinfectants; quarantine-like avoidance during fevers.
Reasoned: Oil-massage &amp; steam from herb boils (forest plants) for divers; salt as preservative and antiseptic.</t>
  </si>
  <si>
    <t>Strengths: Herb-rich Ghats pharmacopoeia; fish protein; fermented foods; coconut-based fats.
Risks: Malaria in backwaters, leeches/wounds in forests, snakebite; monsoon fevers; boat/bar-mouth accidents.
Care: Herbal poultices, fumigations, oil massage, bone-setting; midwifery networks (reasoned)</t>
  </si>
  <si>
    <t>Strengths: Balanced rice–fish diet; medicinal herbs; clean upland springs feeding tanks. [INF]
Risks: Flood fevers, water-borne disease; mosquito-borne ailments; tool/boat injuries; snakebite. [ATT]/[INF]
Care systems: Healer lineages, midwives, bone-setters; taboos on pond use during outbreaks; ash/lime disinfectants. [INF]</t>
  </si>
  <si>
    <t>Did not 'decline' as much as they evolved into more complex, often proto-urban or urban cultures, eventually contributing to the rise of the Indus Valley Civilization.</t>
  </si>
  <si>
    <t>Gradual decline around 1500 BCE, possibly due to climatic changes affecting agriculture, or integration/assimilation into subsequent cultures. Not a sudden collapse.</t>
  </si>
  <si>
    <t>Around 1900 BCE, these urban centers faced decline due to a combination of factors: climatic changes (weakening monsoon, droughts affecting agriculture), drying up of the Ghaggar-Hakra river system, overexploitation of resources, and possibly shifting trade routes.</t>
  </si>
  <si>
    <t>: late Neolithic/ashmound systems fade, and Early Iron/Megalithic lifeways expand. After ~800 BCE, you see more iron, bigger networks, and proto-urban tendencies in some regions.</t>
  </si>
  <si>
    <t>Late Vedic transitions into the Mahājanapada era (c. 600–300 BCE): larger states, coinage, cities (“Second Urbanization”), and śramaṇa movements (Buddhism/Jainism)</t>
  </si>
  <si>
    <t>Magadhan expansion (Bimbisāra → Ajātaśatru → Śiśunāga → Nanda) using elephants, revenue scale, and sieges.
Inter-state wars that exhausted Kāśi/Kośala/Vatsa/Avanti.
Republics subdued (diplomacy + long war vs Vajji) and co-opted.
NW pressure: Achaemenid incorporation of Gandhāra/Kamboja; later Alexander (326 BCE) shock, then Mauryan takeover.
Trade-route reorientation &amp; capital shift to Pāṭaliputra drained peripheral clout.</t>
  </si>
  <si>
    <t>Military</t>
  </si>
  <si>
    <t>No standing armies. Think village militias and kin groups, not professional soldiers.
Weapons: stone blades (microliths), bone points, clubs/maceheads; later copper knives, spear/arrowheads appear in Chalcolithic phases. Slings were cheap, deadly, and common.
Fortifications: by the late end of this span, some early towns were walled—e.g., Kot Diji, Rehman Dheri—with mud-brick ramparts and gated entries. That screams “organized defense,” but still pre-state scale.
Tactics: raid/defend over fields, water, herds; skirmishes more than set-piece battles.</t>
  </si>
  <si>
    <t>Fortified settlements appear: Balathal shows an enclosed wall, and Gilund has mud-brick/stone fortification—clear signs of organized defense at village-town scale. 
heritageuniversityofkerala.com
Arms/tech: a classic Chalcolithic mix—stone tools alongside copper (axes, blades, points) sourced from the Aravalli ore belts the Ahar–Banas exploited. Think militia-style defense rather than standing armi</t>
  </si>
  <si>
    <t>Early: Light chariot warfare (ratha), bows, spears, axes; cattle-raids (gaviṣṭi) in poetry.
Late: More infantry/iron weapons; fortified places begin to appear in the Doab.</t>
  </si>
  <si>
    <t>Intensifying warfare among states; Magadha’s expansion under Bimbisara, Ajatashatru and later the Nanda dynasty absorbed or subdued most other Mahājanapadas, paving the way for the Mauryan Empire (322 BCE).
Forces: Mass infantry, growing cavalry, and signature war elephants; riverine flotillas.
Fortifications: Earthen ramparts, timber palisades, moats; later brick.
Magadhan edge: Strategic geography (Ganges–Son–Champaran arc), elephant corps, and ruthless innovation (e.g., siege devices attributed to Ajātaśatru).
International links: NW polities (Gāndhāra/Kamboja) interface with Achaemenid Persia; trans-Asian trade and ideas move through Takṣaśilā.
Shift from chariot prestige → practical infantry + cavalry + war elephants (Magadha edge). Siegeworks (earthen ramps, fire, engines attributed to Ajātaśatru).
Large infantry and cavalry forces; elephant corps crucial; use of iron weapons and chariots; fortified capitals.</t>
  </si>
  <si>
    <t>Kit: Spear, javelin, small swords/long knives, round shields; bows for hunting and skirmish; leather and bamboo armor elements.
Forces: Levy infantry by settlement; boat militias for bank protection; elephant intimidation (limited, from Ghats).
Tactics: Skirmish in scrub, ambush at fords, stockade defense; night raids on salt pans or pearl stores during disputes.
Reasoned: River-bund sabotage as warfare; bank-season blockades as sanctions.</t>
  </si>
  <si>
    <t>Arms: Iron spears, javelins, leaf-blades, small swords/long knives; bows in forests; round hide shields.
Forces: Levy infantry, pass-guards, boat-militias at bars; elephant intimidation locally.
Tactics: Ambush at gap narrows, bar-mouth closures, night burns of beach-stores; avoiding set-piece line battles.</t>
  </si>
  <si>
    <t>Arms: Iron spears/javelins/leaf-blades, bows, knives; round hide shields; bamboo/leather armor pieces. [ATT]/[INF]
Forces: Levy infantry by irrigation ward; boat militias at bars; limited elephants (mostly imported skill). [INF]
Tactics: Hydro-war (cut bunds, seize headworks), ford fights, bar-mouth seizures, night burns of salt/fish stores; stockade defense at hamlet mounds</t>
  </si>
  <si>
    <t>Money</t>
  </si>
  <si>
    <t>Pre-money economy: household storage + barter + gift/reciprocity. You paid in grain, labor, or livestock.
Wealth = herds &amp; surplus. Cattle, goats, and stored grain were your bank account.
Prestige goods as currency-adjacent: carnelian and shell beads, lapis (imported), copper tools circulated as high-value trade items and status markers.
Standardized weights/seals? Not yet. Those become a “thing” in the Mature Harappan after 2600 BCE. Here, measurement and exchange were local and flexible.</t>
  </si>
  <si>
    <t>No coinage yet; value moved via barter and prestige goods (copper objects, beads, ceramics).
Administrative hints: at Gilund, archaeologists recovered dozens of seal impressions (sealings)—exactly the kind of thing used to secure goods or containers and track transactions. That implies record-keeping / control of surplus, even if weights/coins weren’t standardized like in Mature Harappa.</t>
  </si>
  <si>
    <t>Cattle function as wealth; niṣka (gold ornament) as a prestige value-object.</t>
  </si>
  <si>
    <t>Punch-marked silver coins (often called karshapanas); also barter continued in rural zones.
Earliest punch-marked silver coins (kārṣāpaṇa/pana) standardize payments and taxes.</t>
  </si>
  <si>
    <t>Media: Barter (grain, salt, cotton), weighed metal bits, bead strings; punch-marked silver likely begins trickling in by late 1st-millennium BCE via Deccan routes.
Prices &amp; dues: Boat shares for divers; temple/ancestor fees in kind; bridewealth in cattle/pearls.
Reasoned: Harbor octroi on boats and bundles; standardized shell-lime measures; weighing stones at market-trees.</t>
  </si>
  <si>
    <t>Media: Barter bundles (pepper measures, rice, salt), weighed metal bits; punch-marked coins begin appearing via Kaveri/Kongu exchange late in this period (attested regionally).
Dues: Pass-toll (per pack), bar-mouth landing duty, timber float fee, elephant-forest fines (reasoned).</t>
  </si>
  <si>
    <t>Media: Commodity barter (grain, salt, fish, cotton), weighed metal bits; punch-marked silver begins to circulate via Kongu/Deccan toward the late 1st-millennium BCE. [ATT]/[INF]
Dues: Toll/custody fees at ferries and bars; tank-repair labor quotas; salt-pan leases; fish-yard shares. [INF]</t>
  </si>
  <si>
    <t>Locomotion</t>
  </si>
  <si>
    <t>On foot + pack animals: cattle, sheep/goat used to haul and carry; zebu herding spreads.
Boats: rivers and coastal inlets (Makran, Kachchh) likely saw reed/dugout craft for fishing and short hops.
Wheels arrive late in this window: small terracotta wheels/cart models show up by the 4th–3rd millennium BCE → ox-carts likely in use by the very end of this period, setting up the transport boom of the urban Indus.
Paths, not highways: seasonal tracks linking oasis zones, riverbanks, and hill-edge villages; ideas and beads moved farther than the people who made them.</t>
  </si>
  <si>
    <t>Overland: foot travel and pack/traction by cattle (zebu); by the later 3rd millennium, ox-carts are very likely in routine use across Chalcolithic western India (mirrors regional finds of cart models/wheels), enabling movement of copper, grain, and pottery between Banas valley sites and neighboring regions.
Riverine: mostly short-haul within basins; no evidence of big boat networks here like the Indus delta.
(Locomotion is inferred from the culture’s inland geography plus the scale of exchange evidenced at Gilund and allied sites.)</t>
  </si>
  <si>
    <t>On foot: the baseline for herders, porters, and soldiers.
Ox carts (anasa): 2- or 4-wheeled, bullock-drawn; the workhorse for grain, firewood, families. Everyday transport across villages.
Chariots (ratha): Light, two-wheeled, spoked; horse-drawn; elite mobility for war, hunt, and prestige. Suits firm, open ground (Doab plains), not forests or hills.
Pack animals: Cattle in early phases; horses (for riders/leading spare mounts), asses/onagers likely in NW fringes; camels show up in the northwest corridor; elephants appear late as tamed power (more reliable by post-Vedic/early historic).
Boats &amp; rafts (nau): Riverine travel on Indus/Ghaggar/Yamuna early; Ganga/Sarayu late. Likely dugouts/rafts and plank boats for ferrying, fishing, and short hops—not blue-water shipping.</t>
  </si>
  <si>
    <t>River boats on the Ganga system; ox-carts for overland transport; horses and chariots for elite travel and warfare.
"Roads &amp; routes: Royal highways (rāja-mārga/mahāpatha); Uttarāpatha (NW–NE) &amp; Dakṣiṇāpatha (N–S) as trunk corridors. Toll gates at bridges/fords.
Land transport: Ox-carts for bulk; pack oxen everywhere; horses common NW→Ganga; camels in Gandhāra/Kamboja/Matsya belt.
Riverine: Ferries, plank boats, barges on Gaṅgā–Yamunā–Sadanirā–Son–Godāvarī; seasonal flotillas for grain/wood/salt; river tolls regulated.
Seagoing (limited but present): Eastern ports (e.g., Campā of Aṅga) sending craft to Bengal littoral; westward link via Avanti→Narmadā→Arabian Sea (grows later)."</t>
  </si>
  <si>
    <t>Land: Ox-carts on laterite ridges; pack cattle on Ghats paths (Ambasamudram–Papanasam corridors).
River &amp; lagoon: Dugouts, plank boats; poling and paddling in creeks; short barge hops to Korkai.
Sea: Stitched-plank canoes with lateen-like or square rigs (local); seasonal coastal hops to Aruvi (Aruppukkottai coast), Rameswaram, Mannar.
Reasoned: A chain of salt pans and fish-smoke stations doubling as waypoints; ferries at broad creeks.</t>
  </si>
  <si>
    <t>Coast: Dugouts/stitched-plank canoes; single-mast square/lateen-like sails for fair-season hops; poling/paddling creeks.
Land: Pack cattle, porters; ox-carts feasible on the Palakkad floor and coastal laterite spines.
River: Timber/pepper floats in moderate flow; ferry canoes at wide bends.</t>
  </si>
  <si>
    <t>Land: Ox-carts on laterite ridges; pack cattle on stony paths; human portage on steeper Kongu tracks. [ATT]/[INF]
River/lagoon: Dugouts, plank boats; poling/paddling on distributaries; rope-ferries at wide crossings. [ATT]/[INF]
Sea: Stitched-plank canoes, palm-mat sails for fair-season cabotage; beaching at sand-bars.</t>
  </si>
  <si>
    <t>Skills passed by apprenticeship (e.g., bead drilling, shell sawing, basket-bitumen lining). The precision implied by dentistry and beadmaking shows technical training, not formal schooling.</t>
  </si>
  <si>
    <t>Learning was oral, residential, and ruthless about accuracy. The “school” was the guru’s home (gurukula). The syllabus was ritual + language + time-keeping, with logic and ethics embedded in debate and commentary. No everyday writing.</t>
  </si>
  <si>
    <t>Takshashila renowned as a centre of learning; Brahmanical and Sramana teachers fostered philosophical schools—Ajivikas, Buddhists, Jains.
Centers of learning: Takṣaśilā (Gāndhāra), Ujjayinī, Kauśāmbī, Vaiśālī, Rājagṛha/Pāṭaliputra.
Languages/scripts: Middle Indo-Aryan vernaculars (Magadhī, Ardhamāgadhī, Śaurasenī, etc.); early Brāhmī/Kharoṣṭhī epigraphy ramps up slightly later (Achaemenid/early Mauryan horizon).</t>
  </si>
  <si>
    <t>Pedagogies: Apprenticeship (divers learn by seasons and depths, equalization tricks); smiths teach furnace temps by color; bards memorize genealogies and “land-songs.”
Arts: Dance-drum at fairs; shell/ivory carving; mural-like clay-wash decorations in houses; body ornament (beads, shells, copper).
Reasoned: Proto-akam/puram thematic split (love/landscape vs public/valor) already vibrant orally before writing.</t>
  </si>
  <si>
    <t>Modes: Apprenticeship (boat-building, spice curing, hunting/elephant-handling), bardic memorization, healer lineages; star/monsoon reckoning for sailing/sowing.</t>
  </si>
  <si>
    <t>Mode: Oral—apprenticeship in crafts (smithing, bead-drilling, boat-building), bardic schooling (meters, genealogies), healer lineages; reckoning with stars/seasonal winds for sowing and sailing. [ATT]/[INF]
Literacy: Local Tamil-Brāhmī appears regionally just after this window (3rd–2nd BCE).</t>
  </si>
  <si>
    <t>Battles, Attacks, Invasions, Internal Revolutions</t>
  </si>
  <si>
    <t>Frequent interstate wars—Magadha vs. Kosala, Avanti vs. Vatsa; internal power struggles within republics; Persian Achaemenid influence in the northwest (Gandhara) during Darius I’s reign.
Kośala × Kāśi × Magadha wars weaken Kāśi; Kośala and Magadha emerge as rivals.
Bimbisāra (Magadha) expands via war and marriage alliances (Kośala princess; Aṅga annexed).
Ajātaśatru defeats Vajji (after long siege/diplomacy), crippling republican power.
Śiśunāgas → Nandas centralize Magadha with huge standing armies and revenue reforms.
Chandragupta Maurya (with Kauṭilya) topples the Nandas (c. 322 BCE) → Mauryan Empire unifies much of the subcontinent.
NW pressure: Achaemenid incorporation of Gandhāra/Kamboja; later Alexander (326 BCE) shock, then Mauryan takeover.</t>
  </si>
  <si>
    <t>Pass wars: Palakkad Gap is the prize—whoever holds it rations east–west traffic (tribute, escorts). Skirmishes and stockade defenses on ridge-spurs.
Bar-mouth seizures: Control of Muziris/Naura/Tondi landing bars = customs. Short, sharp fights at ferries and sandspits; burning of beach-stores as punishment.
Forest sanctions: Blocking elephant drives or pepper picking in rival tracts; oath-stones and fines mediate disputes (reasoned).</t>
  </si>
  <si>
    <t>External conquest: None recorded here; Aśoka’s lists imply no Mauryan annexation. [ATT]
Conflict mode: Resource/route contests—bund sabotage, ferry seizures, bar closures, cattle raids; oath-stone arbitrations to end cycles. [INF]
Internal change: Administrative “revolution” = regularized tolls/customs, irrigation law, proto-scribal roles → shift from clan chiefdoms to named kingship by 3rd BCE</t>
  </si>
  <si>
    <t>Events</t>
  </si>
  <si>
    <t>c. 900–700 BCE: Established complex society at Adichanallur (anchor for antiquity of the zone).
700–400 BCE: Growth of Korkai as river-sea nodal port (eco-geomorphic shift pushes shoreline gradually).
260–232 BCE: Aśoka acknowledges Pāṇḍyas as independent—first external political naming.
200–100 BCE (just beyond your cut): Mangulam cave gifts to Jain monks by a Pandyan king—first internal royal naming.
Reasoned: Recurrent inter-chiefdom fights over bunds, ferries, and banks; diplomatic marriages Delta↔Ghats.
Shocks: Cyclone surges, lagoon salinity spikes, rice-blast, fever waves.
Buffers: Mixed cropping; dried fish stores; mangrove woodlines as storm breaks; inter-village aid via marital ties and bardic arbitration.
Reasoned: Ritual calendars aligned to disease seasonality (abstinence weeks; no-dive days).</t>
  </si>
  <si>
    <t>600–450 BCE: Early-Iron/megalithic fabric dense across Kongu–delta; ferries/tanks proliferate. [ATT]
450–350 BCE: Uraiyūr consolidates as inland hub; Kodumanal industrial network hums; proto-Puhār landings stabilize. [ATT]/[INF]
c. 260–232 BCE: Aśoka names Cōḻa among independent southern powers (clean external attestation).</t>
  </si>
  <si>
    <t>Women</t>
  </si>
  <si>
    <t>Legal/social baseline: Patriarchal households with regional variation; property primarily agnatic, but strīdhan acknowledged; mixed marriage forms across strata; widowhood norms tightening over time.
Economic roles: Women as weavers, potters, vendors, inn-keepers; active in guild-linked crafts and market life (esp. urban centers).
Religious/intellectual:
Bhikkhunī Saṅgha founded by the Buddha (Mahāpajāpatī Gotamī); early nuns’ verses (Therīgāthā) indicate literacy, debate.
Jain tradition includes prominent nuns (gaṇa leaders in later lists).
Patronage &amp; politics:
Ambapālī/Āmrapālī (Vaishālī’s celebrated nagar-vadhu) donates her mango grove to the Saṅgha—politically weighty civic patron.
Queen Mallikā (Kośala) appears as a politically astute interlocutor in Buddhist sources.
Kośalādevī (Magadhan queen from Kośala) embodies interstate alliance politics via marriage.
Merchant women like Visākhā (Migāramātā) are major donors at Śrāvastī.
Health &amp; care: Midwifery and women healers attested; obstetric knowledge in surgical lore (proto-Suśruta).
Public visibility: Courtly women as diplomatic links (marriage alliances), ritual participants, and urban cultural patrons; republican polities show occasional assembly-linked visibility via clan ties, though offices held by women are rare in sources.</t>
  </si>
  <si>
    <t>Work: Weaving, net-mending, fish curing, shell sorting, market vending, brewing/toddy tapping; midwifery and healing.
Property &amp; ritual: Personal ornaments (beads/shell) as strīdhan-like wealth; leading roles in first-fruits/first-catch rites; lament and praise poetry traditions.
Reasoned: Guild-facing women (inn-keepers, grain-measurers) at fairs; elderly women as water custodians (pond taboos, equitable turns).</t>
  </si>
  <si>
    <t>Work: Pepper harvesting/curing, weaving, fish-processing, market vending; midwifery and healing.
Property: Ornaments and tools as personal wealth; ritual leadership at grove and monsoon festivities (reasoned).
Mobility: Women active at markets/landings; widows and elder women often hold water-use and grove-taboo authority (reasoned).</t>
  </si>
  <si>
    <t>Work: Weaving, oil pressing, fish curing, salt-pan work, net-mending, market vending; midwifery/healing. [ATT]/[INF]
Property/ritual: Ornaments as personal wealth; leadership in new-rice and grove rites; water-custodianship taboos enforced by elder women. [INF]
Public role: Inn-keeping/market measures; participation in settlement arbitration (through kin/guild ties). [INF]</t>
  </si>
  <si>
    <t>Religion</t>
  </si>
  <si>
    <t>Śramaṇa ferment: Buddhism and Jainism both crystallize here (especially in Magadha/Kośala/Videha zones).
Vedic–Upaniṣadic streams continue (Kuru-Pañcāla heartlands).</t>
  </si>
  <si>
    <t>Core practice:
Attested/Regional: Ancestor veneration (megalithic burials with grave goods); grove/river/hill cults; serpent worship precincts.
Reasoned: Rain/monsoon propitiation rites; first-fruits/first-pepper festivals; healing/possession rituals at grove-shrines.
Śramaṇa horizon (late in window):
Reasoned: Jain/Buddhist itinerants begin crossing the Gap routes by the 4th–3rd c. BCE; firm epigraphy is later.</t>
  </si>
  <si>
    <t>Matrix: Ancestor cult + nature/river/grove deities; oath-stones; later Śramaṇa travellers. [ATT]/[INF]
Ritual calendar: Monsoon propitiations; first-fruits/new-rice; ferry/bar-opening days; healing vows.</t>
  </si>
  <si>
    <t>Social, Economy</t>
  </si>
  <si>
    <t>Strata: Chiefs/lineages; craft specialists (smiths, potters, shell-workers); divers/fishers; cultivators; herders; bards; healers; forest specialists.
Institutions: Village councils; seasonal market courts; oath-stones; proto-guild pacts; harbor custodians.
Macro-economy: Rice surplus finances tools and boats; pearls/chanks supply prestige trade; salt and dried fish move inland; iron spreads productivity; ritual and feasting recycle surplus locally.
Reasoned: Harbor regimens (closed seasons, depth bands, guild shares) recognizable precursors of the later, famous Mannar pearl regulations.</t>
  </si>
  <si>
    <t>Social fabric:
Attested/Regional: Segmentary chiefdoms—hill/forest lineages (elephants/pepper) and coastal chiefs (bars/landings); craft specialists (smiths, bamboo/boat-builders, ivory carvers), fishers, cultivators, bards, healers.
Reasoned: Marriage ties linking hill and coast; village councils arbitrate water use, forest rights, bar landings.
Institutions &amp; dues:
Attested/Regional: Pass-tolls, bar-mouth customs, timber float fees; fines for forest trespass and bund-cutting.
Reasoned: Pepper quota days, closed seasons for elephant drives; oath-stone courts at market trees.
Money &amp; exchange:
Attested/Regional: Barter bundles (pepper measures, salt, rice), weighed metal pieces; punch-marked silver starts trickling via the Kaveri–Kongu link late in this period.
Trade engine:
Attested/Regional: Palakkad Gap = east–west hinge; river floats (Periyar/Bharathapuzha) bring timber/pepper to estuaries; coastal cabotage stitches Naura–Tyndis–Muchiri proto-nodes.
Reasoned: Seasonal fairs at bar landings and pass mouths (barter + music + oath-stone arbitration).</t>
  </si>
  <si>
    <t>Strata: Chiefs/lineages; irrigation ward heads; craft specialists (smiths, bead-makers, potters); cultivators; fishers/boatmen; bards/healers; salt-pan crews. [ATT]/[INF]
Institutions: Village councils; market oath-stones; proto-guild compacts; ferry/bar custody; communal tank labor. [INF]
Macro-engine: Paddy surplus funds tools/boats; beads &amp; iron feed prestige trade; salt/dried fish move inland; tolls/customs finance authority → state capacity by ~300 BCE.</t>
  </si>
  <si>
    <t>Notable Women &amp; Men</t>
  </si>
  <si>
    <t>Symbols, emblems, etc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</si>
</sst>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1" numFmtId="0" xfId="0" applyAlignment="1" applyBorder="1" applyFont="1">
      <alignment horizontal="center" readingOrder="0" shrinkToFit="0" wrapText="1"/>
    </xf>
    <xf borderId="0" fillId="0" fontId="2" numFmtId="0" xfId="0" applyAlignment="1" applyFont="1">
      <alignment readingOrder="0"/>
    </xf>
    <xf borderId="0" fillId="0" fontId="2" numFmtId="0" xfId="0" applyAlignment="1" applyFont="1">
      <alignment shrinkToFit="0" wrapText="1"/>
    </xf>
    <xf borderId="1" fillId="2" fontId="3" numFmtId="0" xfId="0" applyAlignment="1" applyBorder="1" applyFill="1" applyFont="1">
      <alignment horizontal="center" shrinkToFit="0" vertical="bottom" wrapText="1"/>
    </xf>
    <xf borderId="1" fillId="0" fontId="1" numFmtId="0" xfId="0" applyAlignment="1" applyBorder="1" applyFont="1">
      <alignment readingOrder="0"/>
    </xf>
    <xf borderId="1" fillId="0" fontId="1" numFmtId="0" xfId="0" applyAlignment="1" applyBorder="1" applyFont="1">
      <alignment horizontal="left" readingOrder="0" shrinkToFit="0" wrapText="1"/>
    </xf>
    <xf borderId="1" fillId="0" fontId="3" numFmtId="0" xfId="0" applyAlignment="1" applyBorder="1" applyFont="1">
      <alignment readingOrder="0" shrinkToFit="0" vertical="bottom" wrapText="1"/>
    </xf>
    <xf borderId="1" fillId="0" fontId="3" numFmtId="0" xfId="0" applyAlignment="1" applyBorder="1" applyFont="1">
      <alignment horizontal="center" readingOrder="0" shrinkToFit="0" vertical="bottom" wrapText="1"/>
    </xf>
    <xf borderId="1" fillId="2" fontId="3" numFmtId="0" xfId="0" applyAlignment="1" applyBorder="1" applyFill="1" applyFont="1">
      <alignment horizontal="center" readingOrder="0" shrinkToFit="0" vertical="bottom" wrapText="1"/>
    </xf>
    <xf borderId="1" fillId="2" fontId="3" numFmtId="0" xfId="0" applyAlignment="1" applyBorder="1" applyFill="1" applyFont="1">
      <alignment readingOrder="0" shrinkToFit="0" vertical="bottom" wrapText="1"/>
    </xf>
    <xf borderId="1" fillId="2" fontId="3" numFmtId="0" xfId="0" applyAlignment="1" applyBorder="1" applyFill="1" applyFont="1">
      <alignment shrinkToFit="0" vertical="bottom" wrapText="1"/>
    </xf>
    <xf borderId="0" fillId="0" fontId="2" numFmtId="0" xfId="0" applyAlignment="1" applyFont="1">
      <alignment readingOrder="0" shrinkToFit="0" wrapText="1"/>
    </xf>
    <xf borderId="1" fillId="0" fontId="3" numFmtId="0" xfId="0" applyAlignment="1" applyBorder="1" applyFont="1">
      <alignment readingOrder="0" shrinkToFit="0" vertical="bottom" wrapText="0"/>
    </xf>
    <xf borderId="0" fillId="2" fontId="1" numFmtId="0" xfId="0" applyAlignment="1" applyFill="1" applyFont="1">
      <alignment horizontal="center" shrinkToFit="0" wrapText="1"/>
    </xf>
    <xf borderId="0" fillId="0" fontId="1" numFmtId="0" xfId="0" applyAlignment="1" applyFont="1">
      <alignment horizontal="center" shrinkToFit="0" wrapText="1"/>
    </xf>
    <xf borderId="1" fillId="0" fontId="2" numFmtId="0" xfId="0" applyAlignment="1" applyBorder="1" applyFont="1">
      <alignment horizontal="left" readingOrder="0" shrinkToFit="0" wrapText="1"/>
    </xf>
    <xf borderId="1" fillId="0" fontId="2" numFmtId="0" xfId="0" applyAlignment="1" applyBorder="1" applyFont="1">
      <alignment readingOrder="0"/>
    </xf>
    <xf borderId="1" fillId="2" fontId="2" numFmtId="0" xfId="0" applyAlignment="1" applyBorder="1" applyFill="1" applyFont="1">
      <alignment horizontal="left" readingOrder="0" shrinkToFit="0" wrapText="1"/>
    </xf>
    <xf borderId="0" fillId="0" fontId="2" numFmtId="0" xfId="0" applyAlignment="1" applyFont="1">
      <alignment horizontal="left" shrinkToFit="0" wrapText="1"/>
    </xf>
    <xf borderId="1" fillId="0" fontId="4" numFmtId="0" xfId="0" applyAlignment="1" applyBorder="1" applyFont="1">
      <alignment horizontal="left" shrinkToFit="0" vertical="bottom" wrapText="1"/>
    </xf>
    <xf borderId="1" fillId="0" fontId="2" numFmtId="0" xfId="0" applyAlignment="1" applyBorder="1" applyFont="1">
      <alignment horizontal="left" shrinkToFit="0" wrapText="1"/>
    </xf>
    <xf borderId="1" fillId="0" fontId="2" numFmtId="0" xfId="0" applyBorder="1" applyFont="1"/>
    <xf borderId="1" fillId="0" fontId="4" numFmtId="0" xfId="0" applyAlignment="1" applyBorder="1" applyFont="1">
      <alignment horizontal="left" readingOrder="0" shrinkToFit="0" vertical="bottom" wrapText="1"/>
    </xf>
    <xf borderId="1" fillId="0" fontId="2" numFmtId="0" xfId="0" applyAlignment="1" applyBorder="1" applyFont="1">
      <alignment readingOrder="0" shrinkToFit="0" wrapText="1"/>
    </xf>
    <xf borderId="0" fillId="0" fontId="1" numFmtId="0" xfId="0" applyAlignment="1" applyFont="1">
      <alignment readingOrder="0"/>
    </xf>
    <xf borderId="1" fillId="0" fontId="1" numFmtId="0" xfId="0" applyAlignment="1" applyBorder="1" applyFont="1">
      <alignment horizontal="left" shrinkToFit="0" wrapText="1"/>
    </xf>
    <xf borderId="0" fillId="0" fontId="1" numFmtId="0" xfId="0" applyAlignment="1" applyFont="1">
      <alignment horizontal="left" shrinkToFit="0" wrapText="1"/>
    </xf>
    <xf borderId="1" fillId="0"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75"/>
    <col customWidth="1" min="2" max="2" width="47.75"/>
    <col customWidth="1" min="3" max="3" width="43.13"/>
    <col customWidth="1" min="4" max="5" width="24.75"/>
    <col customWidth="1" min="7" max="7" width="45.25"/>
    <col customWidth="1" min="8" max="8" width="43.13"/>
    <col customWidth="1" min="9" max="9" width="36.63"/>
    <col customWidth="1" min="10" max="10" width="31.25"/>
    <col customWidth="1" min="11" max="11" width="34.5"/>
    <col customWidth="1" min="12" max="12" width="43.25"/>
    <col customWidth="1" min="13" max="13" width="29.38"/>
  </cols>
  <sheetData>
    <row r="1">
      <c r="A1" s="2" t="s">
        <v>1</v>
      </c>
      <c r="B1" s="5" t="s">
        <v>5</v>
      </c>
      <c r="C1" s="5" t="s">
        <v>14</v>
      </c>
      <c r="D1" s="6" t="s">
        <v>18</v>
      </c>
      <c r="E1" s="2" t="s">
        <v>21</v>
      </c>
      <c r="F1" s="8" t="s">
        <v>24</v>
      </c>
      <c r="G1" s="9" t="s">
        <v>30</v>
      </c>
      <c r="H1" s="10" t="s">
        <v>35</v>
      </c>
      <c r="I1" s="11" t="s">
        <v>40</v>
      </c>
      <c r="J1" s="12" t="s">
        <v>45</v>
      </c>
      <c r="K1" s="14" t="s">
        <v>49</v>
      </c>
      <c r="L1" s="6" t="s">
        <v>52</v>
      </c>
      <c r="M1" s="11" t="s">
        <v>54</v>
      </c>
      <c r="N1" s="15"/>
      <c r="O1" s="16"/>
      <c r="P1" s="16"/>
      <c r="Q1" s="16"/>
      <c r="R1" s="16"/>
      <c r="S1" s="16"/>
      <c r="T1" s="16"/>
      <c r="U1" s="16"/>
      <c r="V1" s="16"/>
      <c r="W1" s="16"/>
      <c r="X1" s="16"/>
      <c r="Y1" s="16"/>
      <c r="Z1" s="16"/>
    </row>
    <row r="2">
      <c r="A2" s="7" t="s">
        <v>66</v>
      </c>
      <c r="B2" s="17" t="s">
        <v>70</v>
      </c>
      <c r="C2" s="17" t="s">
        <v>74</v>
      </c>
      <c r="D2" s="18" t="s">
        <v>76</v>
      </c>
      <c r="E2" s="17" t="s">
        <v>79</v>
      </c>
      <c r="F2" s="17" t="s">
        <v>81</v>
      </c>
      <c r="G2" s="17" t="s">
        <v>83</v>
      </c>
      <c r="H2" s="17" t="s">
        <v>84</v>
      </c>
      <c r="I2" s="7" t="s">
        <v>86</v>
      </c>
      <c r="J2" s="17" t="s">
        <v>88</v>
      </c>
      <c r="K2" s="19" t="s">
        <v>93</v>
      </c>
      <c r="L2" s="17" t="s">
        <v>98</v>
      </c>
      <c r="M2" s="17" t="s">
        <v>101</v>
      </c>
      <c r="N2" s="20"/>
      <c r="O2" s="20"/>
      <c r="P2" s="20"/>
      <c r="Q2" s="20"/>
      <c r="R2" s="20"/>
      <c r="S2" s="20"/>
      <c r="T2" s="20"/>
      <c r="U2" s="20"/>
      <c r="V2" s="20"/>
      <c r="W2" s="20"/>
      <c r="X2" s="20"/>
      <c r="Y2" s="20"/>
      <c r="Z2" s="20"/>
    </row>
    <row r="3">
      <c r="A3" s="7" t="s">
        <v>31</v>
      </c>
      <c r="B3" s="21">
        <v>4500.0</v>
      </c>
      <c r="C3" s="21">
        <v>1500.0</v>
      </c>
      <c r="D3" s="22"/>
      <c r="E3" s="22"/>
      <c r="F3" s="22"/>
      <c r="G3" s="22"/>
      <c r="H3" s="21"/>
      <c r="I3" s="17"/>
      <c r="J3" s="22"/>
      <c r="K3" s="22"/>
      <c r="L3" s="22"/>
      <c r="M3" s="22"/>
      <c r="N3" s="20"/>
      <c r="O3" s="20"/>
      <c r="P3" s="20"/>
      <c r="Q3" s="20"/>
      <c r="R3" s="20"/>
      <c r="S3" s="20"/>
      <c r="T3" s="20"/>
      <c r="U3" s="20"/>
      <c r="V3" s="20"/>
      <c r="W3" s="20"/>
      <c r="X3" s="20"/>
      <c r="Y3" s="20"/>
      <c r="Z3" s="20"/>
    </row>
    <row r="4">
      <c r="A4" s="7" t="s">
        <v>33</v>
      </c>
      <c r="B4" s="21" t="s">
        <v>115</v>
      </c>
      <c r="C4" s="24" t="s">
        <v>117</v>
      </c>
      <c r="D4" s="17"/>
      <c r="E4" s="17" t="s">
        <v>121</v>
      </c>
      <c r="F4" s="22"/>
      <c r="G4" s="25" t="s">
        <v>125</v>
      </c>
      <c r="H4" s="25" t="s">
        <v>129</v>
      </c>
      <c r="I4" s="25" t="s">
        <v>132</v>
      </c>
      <c r="J4" s="25" t="s">
        <v>134</v>
      </c>
      <c r="K4" s="17" t="s">
        <v>137</v>
      </c>
      <c r="L4" s="17" t="s">
        <v>139</v>
      </c>
      <c r="M4" s="17" t="s">
        <v>142</v>
      </c>
      <c r="N4" s="20"/>
      <c r="O4" s="20"/>
      <c r="P4" s="20"/>
      <c r="Q4" s="20"/>
      <c r="R4" s="20"/>
      <c r="S4" s="20"/>
      <c r="T4" s="20"/>
      <c r="U4" s="20"/>
      <c r="V4" s="20"/>
      <c r="W4" s="20"/>
      <c r="X4" s="20"/>
      <c r="Y4" s="20"/>
      <c r="Z4" s="20"/>
    </row>
    <row r="5">
      <c r="A5" s="7" t="s">
        <v>148</v>
      </c>
      <c r="B5" s="18" t="s">
        <v>153</v>
      </c>
      <c r="C5" s="25" t="s">
        <v>155</v>
      </c>
      <c r="D5" s="25"/>
      <c r="E5" s="25" t="s">
        <v>156</v>
      </c>
      <c r="F5" s="25" t="s">
        <v>158</v>
      </c>
      <c r="G5" s="25" t="s">
        <v>159</v>
      </c>
      <c r="H5" s="25" t="s">
        <v>162</v>
      </c>
      <c r="I5" s="25" t="s">
        <v>164</v>
      </c>
      <c r="J5" s="25" t="s">
        <v>166</v>
      </c>
      <c r="K5" s="17" t="s">
        <v>168</v>
      </c>
      <c r="L5" s="17" t="s">
        <v>170</v>
      </c>
      <c r="M5" s="17" t="s">
        <v>172</v>
      </c>
      <c r="N5" s="20"/>
      <c r="O5" s="20"/>
      <c r="P5" s="20"/>
      <c r="Q5" s="20"/>
      <c r="R5" s="20"/>
      <c r="S5" s="20"/>
      <c r="T5" s="20"/>
      <c r="U5" s="20"/>
      <c r="V5" s="20"/>
      <c r="W5" s="20"/>
      <c r="X5" s="20"/>
      <c r="Y5" s="20"/>
      <c r="Z5" s="20"/>
    </row>
    <row r="6">
      <c r="A6" s="7" t="s">
        <v>120</v>
      </c>
      <c r="B6" s="17" t="s">
        <v>175</v>
      </c>
      <c r="C6" s="17" t="s">
        <v>177</v>
      </c>
      <c r="D6" s="25"/>
      <c r="E6" s="25" t="s">
        <v>179</v>
      </c>
      <c r="F6" s="22"/>
      <c r="G6" s="25" t="s">
        <v>180</v>
      </c>
      <c r="H6" s="25" t="s">
        <v>183</v>
      </c>
      <c r="I6" s="25" t="s">
        <v>186</v>
      </c>
      <c r="J6" s="25" t="s">
        <v>189</v>
      </c>
      <c r="K6" s="17" t="s">
        <v>191</v>
      </c>
      <c r="L6" s="17" t="s">
        <v>192</v>
      </c>
      <c r="M6" s="17" t="s">
        <v>195</v>
      </c>
      <c r="N6" s="20"/>
      <c r="O6" s="20"/>
      <c r="P6" s="20"/>
      <c r="Q6" s="20"/>
      <c r="R6" s="20"/>
      <c r="S6" s="20"/>
      <c r="T6" s="20"/>
      <c r="U6" s="20"/>
      <c r="V6" s="20"/>
      <c r="W6" s="20"/>
      <c r="X6" s="20"/>
      <c r="Y6" s="20"/>
      <c r="Z6" s="20"/>
    </row>
    <row r="7">
      <c r="A7" s="7" t="s">
        <v>197</v>
      </c>
      <c r="B7" s="17" t="s">
        <v>198</v>
      </c>
      <c r="C7" s="25" t="s">
        <v>199</v>
      </c>
      <c r="D7" s="22"/>
      <c r="E7" s="22"/>
      <c r="F7" s="22"/>
      <c r="G7" s="25" t="s">
        <v>200</v>
      </c>
      <c r="H7" s="25"/>
      <c r="I7" s="25" t="s">
        <v>201</v>
      </c>
      <c r="J7" s="25" t="s">
        <v>203</v>
      </c>
      <c r="K7" s="17" t="s">
        <v>204</v>
      </c>
      <c r="L7" s="17" t="s">
        <v>205</v>
      </c>
      <c r="M7" s="17" t="s">
        <v>206</v>
      </c>
      <c r="N7" s="20"/>
      <c r="O7" s="20"/>
      <c r="P7" s="20"/>
      <c r="Q7" s="20"/>
      <c r="R7" s="20"/>
      <c r="S7" s="20"/>
      <c r="T7" s="20"/>
      <c r="U7" s="20"/>
      <c r="V7" s="20"/>
      <c r="W7" s="20"/>
      <c r="X7" s="20"/>
      <c r="Y7" s="20"/>
      <c r="Z7" s="20"/>
    </row>
    <row r="8">
      <c r="A8" s="7" t="s">
        <v>208</v>
      </c>
      <c r="B8" s="17" t="s">
        <v>209</v>
      </c>
      <c r="C8" s="25" t="s">
        <v>210</v>
      </c>
      <c r="D8" s="22"/>
      <c r="E8" s="25" t="s">
        <v>211</v>
      </c>
      <c r="F8" s="22"/>
      <c r="G8" s="25" t="s">
        <v>212</v>
      </c>
      <c r="H8" s="25" t="s">
        <v>213</v>
      </c>
      <c r="I8" s="25" t="s">
        <v>214</v>
      </c>
      <c r="J8" s="25" t="s">
        <v>216</v>
      </c>
      <c r="K8" s="17" t="s">
        <v>218</v>
      </c>
      <c r="L8" s="17" t="s">
        <v>220</v>
      </c>
      <c r="M8" s="17" t="s">
        <v>221</v>
      </c>
      <c r="N8" s="20"/>
      <c r="O8" s="20"/>
      <c r="P8" s="20"/>
      <c r="Q8" s="20"/>
      <c r="R8" s="20"/>
      <c r="S8" s="20"/>
      <c r="T8" s="20"/>
      <c r="U8" s="20"/>
      <c r="V8" s="20"/>
      <c r="W8" s="20"/>
      <c r="X8" s="20"/>
      <c r="Y8" s="20"/>
      <c r="Z8" s="20"/>
    </row>
    <row r="9">
      <c r="A9" s="7" t="s">
        <v>222</v>
      </c>
      <c r="B9" s="17" t="s">
        <v>223</v>
      </c>
      <c r="C9" s="25" t="s">
        <v>224</v>
      </c>
      <c r="D9" s="17"/>
      <c r="E9" s="17" t="s">
        <v>226</v>
      </c>
      <c r="F9" s="22"/>
      <c r="G9" s="25" t="s">
        <v>227</v>
      </c>
      <c r="H9" s="25" t="s">
        <v>228</v>
      </c>
      <c r="I9" s="25" t="s">
        <v>229</v>
      </c>
      <c r="J9" s="25" t="s">
        <v>230</v>
      </c>
      <c r="K9" s="17" t="s">
        <v>231</v>
      </c>
      <c r="L9" s="17" t="s">
        <v>233</v>
      </c>
      <c r="M9" s="17" t="s">
        <v>235</v>
      </c>
      <c r="N9" s="20"/>
      <c r="O9" s="20"/>
      <c r="P9" s="20"/>
      <c r="Q9" s="20"/>
      <c r="R9" s="20"/>
      <c r="S9" s="20"/>
      <c r="T9" s="20"/>
      <c r="U9" s="20"/>
      <c r="V9" s="20"/>
      <c r="W9" s="20"/>
      <c r="X9" s="20"/>
      <c r="Y9" s="20"/>
      <c r="Z9" s="20"/>
    </row>
    <row r="10">
      <c r="A10" s="7" t="s">
        <v>237</v>
      </c>
      <c r="B10" s="17" t="s">
        <v>238</v>
      </c>
      <c r="C10" s="17" t="s">
        <v>239</v>
      </c>
      <c r="D10" s="25"/>
      <c r="E10" s="25" t="s">
        <v>241</v>
      </c>
      <c r="F10" s="22"/>
      <c r="G10" s="25" t="s">
        <v>243</v>
      </c>
      <c r="H10" s="25" t="s">
        <v>245</v>
      </c>
      <c r="I10" s="17" t="s">
        <v>246</v>
      </c>
      <c r="J10" s="25" t="s">
        <v>248</v>
      </c>
      <c r="K10" s="17" t="s">
        <v>251</v>
      </c>
      <c r="L10" s="17" t="s">
        <v>252</v>
      </c>
      <c r="M10" s="17" t="s">
        <v>253</v>
      </c>
      <c r="N10" s="20"/>
      <c r="O10" s="20"/>
      <c r="P10" s="20"/>
      <c r="Q10" s="20"/>
      <c r="R10" s="20"/>
      <c r="S10" s="20"/>
      <c r="T10" s="20"/>
      <c r="U10" s="20"/>
      <c r="V10" s="20"/>
      <c r="W10" s="20"/>
      <c r="X10" s="20"/>
      <c r="Y10" s="20"/>
      <c r="Z10" s="20"/>
    </row>
    <row r="11">
      <c r="A11" s="7" t="s">
        <v>255</v>
      </c>
      <c r="B11" s="17" t="s">
        <v>259</v>
      </c>
      <c r="C11" s="17" t="s">
        <v>260</v>
      </c>
      <c r="D11" s="3" t="s">
        <v>261</v>
      </c>
      <c r="E11" s="25" t="s">
        <v>262</v>
      </c>
      <c r="F11" s="22"/>
      <c r="G11" s="25" t="s">
        <v>263</v>
      </c>
      <c r="H11" s="25" t="s">
        <v>264</v>
      </c>
      <c r="I11" s="17" t="s">
        <v>265</v>
      </c>
      <c r="J11" s="25" t="s">
        <v>266</v>
      </c>
      <c r="K11" s="17" t="s">
        <v>267</v>
      </c>
      <c r="L11" s="17" t="s">
        <v>268</v>
      </c>
      <c r="M11" s="17" t="s">
        <v>269</v>
      </c>
      <c r="N11" s="20"/>
      <c r="O11" s="20"/>
      <c r="P11" s="20"/>
      <c r="Q11" s="20"/>
      <c r="R11" s="20"/>
      <c r="S11" s="20"/>
      <c r="T11" s="20"/>
      <c r="U11" s="20"/>
      <c r="V11" s="20"/>
      <c r="W11" s="20"/>
      <c r="X11" s="20"/>
      <c r="Y11" s="20"/>
      <c r="Z11" s="20"/>
    </row>
    <row r="12">
      <c r="A12" s="7" t="s">
        <v>217</v>
      </c>
      <c r="B12" s="17" t="s">
        <v>270</v>
      </c>
      <c r="C12" s="25" t="s">
        <v>271</v>
      </c>
      <c r="D12" s="17"/>
      <c r="E12" s="17" t="s">
        <v>272</v>
      </c>
      <c r="F12" s="22"/>
      <c r="G12" s="22"/>
      <c r="H12" s="25" t="s">
        <v>273</v>
      </c>
      <c r="I12" s="25" t="s">
        <v>274</v>
      </c>
      <c r="J12" s="25" t="s">
        <v>275</v>
      </c>
      <c r="K12" s="17" t="s">
        <v>276</v>
      </c>
      <c r="L12" s="17" t="s">
        <v>277</v>
      </c>
      <c r="M12" s="17" t="s">
        <v>278</v>
      </c>
      <c r="N12" s="20"/>
      <c r="O12" s="20"/>
      <c r="P12" s="20"/>
      <c r="Q12" s="20"/>
      <c r="R12" s="20"/>
      <c r="S12" s="20"/>
      <c r="T12" s="20"/>
      <c r="U12" s="20"/>
      <c r="V12" s="20"/>
      <c r="W12" s="20"/>
      <c r="X12" s="20"/>
      <c r="Y12" s="20"/>
      <c r="Z12" s="20"/>
    </row>
    <row r="13">
      <c r="A13" s="7" t="s">
        <v>219</v>
      </c>
      <c r="B13" s="17" t="s">
        <v>279</v>
      </c>
      <c r="C13" s="25" t="s">
        <v>280</v>
      </c>
      <c r="D13" s="25"/>
      <c r="E13" s="25" t="s">
        <v>281</v>
      </c>
      <c r="F13" s="22"/>
      <c r="G13" s="22"/>
      <c r="H13" s="25" t="s">
        <v>282</v>
      </c>
      <c r="I13" s="25" t="s">
        <v>283</v>
      </c>
      <c r="J13" s="25" t="s">
        <v>284</v>
      </c>
      <c r="K13" s="17" t="s">
        <v>285</v>
      </c>
      <c r="L13" s="17" t="s">
        <v>286</v>
      </c>
      <c r="M13" s="17" t="s">
        <v>287</v>
      </c>
      <c r="N13" s="20"/>
      <c r="O13" s="20"/>
      <c r="P13" s="20"/>
      <c r="Q13" s="20"/>
      <c r="R13" s="20"/>
      <c r="S13" s="20"/>
      <c r="T13" s="20"/>
      <c r="U13" s="20"/>
      <c r="V13" s="20"/>
      <c r="W13" s="20"/>
      <c r="X13" s="20"/>
      <c r="Y13" s="20"/>
      <c r="Z13" s="20"/>
    </row>
    <row r="14">
      <c r="A14" s="7" t="s">
        <v>232</v>
      </c>
      <c r="B14" s="17" t="s">
        <v>288</v>
      </c>
      <c r="C14" s="17" t="s">
        <v>289</v>
      </c>
      <c r="D14" s="25"/>
      <c r="E14" s="25" t="s">
        <v>290</v>
      </c>
      <c r="F14" s="22"/>
      <c r="G14" s="25" t="s">
        <v>291</v>
      </c>
      <c r="H14" s="25" t="s">
        <v>293</v>
      </c>
      <c r="I14" s="25" t="s">
        <v>294</v>
      </c>
      <c r="J14" s="25" t="s">
        <v>295</v>
      </c>
      <c r="K14" s="22"/>
      <c r="L14" s="17" t="s">
        <v>296</v>
      </c>
      <c r="M14" s="17" t="s">
        <v>297</v>
      </c>
      <c r="N14" s="20"/>
      <c r="O14" s="20"/>
      <c r="P14" s="20"/>
      <c r="Q14" s="20"/>
      <c r="R14" s="20"/>
      <c r="S14" s="20"/>
      <c r="T14" s="20"/>
      <c r="U14" s="20"/>
      <c r="V14" s="20"/>
      <c r="W14" s="20"/>
      <c r="X14" s="20"/>
      <c r="Y14" s="20"/>
      <c r="Z14" s="20"/>
    </row>
    <row r="15">
      <c r="A15" s="7" t="s">
        <v>163</v>
      </c>
      <c r="B15" s="17" t="s">
        <v>298</v>
      </c>
      <c r="C15" s="17" t="s">
        <v>299</v>
      </c>
      <c r="D15" s="25"/>
      <c r="E15" s="25" t="s">
        <v>301</v>
      </c>
      <c r="F15" s="22"/>
      <c r="G15" s="22"/>
      <c r="H15" s="25" t="s">
        <v>304</v>
      </c>
      <c r="I15" s="25" t="s">
        <v>305</v>
      </c>
      <c r="J15" s="25" t="s">
        <v>306</v>
      </c>
      <c r="K15" s="17" t="s">
        <v>308</v>
      </c>
      <c r="L15" s="17" t="s">
        <v>309</v>
      </c>
      <c r="M15" s="17" t="s">
        <v>310</v>
      </c>
      <c r="N15" s="20"/>
      <c r="O15" s="20"/>
      <c r="P15" s="20"/>
      <c r="Q15" s="20"/>
      <c r="R15" s="20"/>
      <c r="S15" s="20"/>
      <c r="T15" s="20"/>
      <c r="U15" s="20"/>
      <c r="V15" s="20"/>
      <c r="W15" s="20"/>
      <c r="X15" s="20"/>
      <c r="Y15" s="20"/>
      <c r="Z15" s="20"/>
    </row>
    <row r="16">
      <c r="A16" s="7" t="s">
        <v>242</v>
      </c>
      <c r="B16" s="17" t="s">
        <v>312</v>
      </c>
      <c r="C16" s="25" t="s">
        <v>313</v>
      </c>
      <c r="D16" s="22"/>
      <c r="E16" s="22"/>
      <c r="F16" s="22"/>
      <c r="G16" s="22"/>
      <c r="H16" s="25"/>
      <c r="I16" s="25" t="s">
        <v>314</v>
      </c>
      <c r="J16" s="25" t="s">
        <v>315</v>
      </c>
      <c r="K16" s="17" t="s">
        <v>316</v>
      </c>
      <c r="L16" s="17" t="s">
        <v>317</v>
      </c>
      <c r="M16" s="17" t="s">
        <v>318</v>
      </c>
      <c r="N16" s="20"/>
      <c r="O16" s="20"/>
      <c r="P16" s="20"/>
      <c r="Q16" s="20"/>
      <c r="R16" s="20"/>
      <c r="S16" s="20"/>
      <c r="T16" s="20"/>
      <c r="U16" s="20"/>
      <c r="V16" s="20"/>
      <c r="W16" s="20"/>
      <c r="X16" s="20"/>
      <c r="Y16" s="20"/>
      <c r="Z16" s="20"/>
    </row>
    <row r="17">
      <c r="A17" s="7" t="s">
        <v>247</v>
      </c>
      <c r="B17" s="25" t="s">
        <v>319</v>
      </c>
      <c r="C17" s="17" t="s">
        <v>320</v>
      </c>
      <c r="D17" s="17"/>
      <c r="E17" s="17" t="s">
        <v>321</v>
      </c>
      <c r="F17" s="22"/>
      <c r="G17" s="22"/>
      <c r="H17" s="25" t="s">
        <v>322</v>
      </c>
      <c r="I17" s="25" t="s">
        <v>323</v>
      </c>
      <c r="J17" s="17" t="s">
        <v>324</v>
      </c>
      <c r="K17" s="22"/>
      <c r="L17" s="22"/>
      <c r="M17" s="22"/>
      <c r="N17" s="20"/>
      <c r="O17" s="20"/>
      <c r="P17" s="20"/>
      <c r="Q17" s="20"/>
      <c r="R17" s="20"/>
      <c r="S17" s="20"/>
      <c r="T17" s="20"/>
      <c r="U17" s="20"/>
      <c r="V17" s="20"/>
      <c r="W17" s="20"/>
      <c r="X17" s="20"/>
      <c r="Y17" s="20"/>
      <c r="Z17" s="20"/>
    </row>
    <row r="18">
      <c r="A18" s="7" t="s">
        <v>325</v>
      </c>
      <c r="B18" s="17" t="s">
        <v>326</v>
      </c>
      <c r="C18" s="17" t="s">
        <v>327</v>
      </c>
      <c r="D18" s="22"/>
      <c r="E18" s="22"/>
      <c r="F18" s="22"/>
      <c r="G18" s="22"/>
      <c r="H18" s="22"/>
      <c r="I18" s="25" t="s">
        <v>328</v>
      </c>
      <c r="J18" s="25" t="s">
        <v>329</v>
      </c>
      <c r="K18" s="17" t="s">
        <v>330</v>
      </c>
      <c r="L18" s="17" t="s">
        <v>331</v>
      </c>
      <c r="M18" s="17" t="s">
        <v>332</v>
      </c>
      <c r="N18" s="20"/>
      <c r="O18" s="20"/>
      <c r="P18" s="20"/>
      <c r="Q18" s="20"/>
      <c r="R18" s="20"/>
      <c r="S18" s="20"/>
      <c r="T18" s="20"/>
      <c r="U18" s="20"/>
      <c r="V18" s="20"/>
      <c r="W18" s="20"/>
      <c r="X18" s="20"/>
      <c r="Y18" s="20"/>
      <c r="Z18" s="20"/>
    </row>
    <row r="19">
      <c r="A19" s="7" t="s">
        <v>333</v>
      </c>
      <c r="B19" s="17" t="s">
        <v>334</v>
      </c>
      <c r="C19" s="17" t="s">
        <v>335</v>
      </c>
      <c r="D19" s="22"/>
      <c r="E19" s="22"/>
      <c r="F19" s="22"/>
      <c r="G19" s="22"/>
      <c r="H19" s="22"/>
      <c r="I19" s="25" t="s">
        <v>336</v>
      </c>
      <c r="J19" s="25" t="s">
        <v>337</v>
      </c>
      <c r="K19" s="17" t="s">
        <v>338</v>
      </c>
      <c r="L19" s="17" t="s">
        <v>339</v>
      </c>
      <c r="M19" s="17" t="s">
        <v>340</v>
      </c>
      <c r="N19" s="20"/>
      <c r="O19" s="20"/>
      <c r="P19" s="20"/>
      <c r="Q19" s="20"/>
      <c r="R19" s="20"/>
      <c r="S19" s="20"/>
      <c r="T19" s="20"/>
      <c r="U19" s="20"/>
      <c r="V19" s="20"/>
      <c r="W19" s="20"/>
      <c r="X19" s="20"/>
      <c r="Y19" s="20"/>
      <c r="Z19" s="20"/>
    </row>
    <row r="20">
      <c r="A20" s="7" t="s">
        <v>341</v>
      </c>
      <c r="B20" s="17" t="s">
        <v>342</v>
      </c>
      <c r="C20" s="17" t="s">
        <v>343</v>
      </c>
      <c r="D20" s="22"/>
      <c r="E20" s="22"/>
      <c r="F20" s="22"/>
      <c r="G20" s="22"/>
      <c r="H20" s="22"/>
      <c r="I20" s="25" t="s">
        <v>344</v>
      </c>
      <c r="J20" s="25" t="s">
        <v>345</v>
      </c>
      <c r="K20" s="17" t="s">
        <v>346</v>
      </c>
      <c r="L20" s="17" t="s">
        <v>347</v>
      </c>
      <c r="M20" s="17" t="s">
        <v>348</v>
      </c>
      <c r="N20" s="20"/>
      <c r="O20" s="20"/>
      <c r="P20" s="20"/>
      <c r="Q20" s="20"/>
      <c r="R20" s="20"/>
      <c r="S20" s="20"/>
      <c r="T20" s="20"/>
      <c r="U20" s="20"/>
      <c r="V20" s="20"/>
      <c r="W20" s="20"/>
      <c r="X20" s="20"/>
      <c r="Y20" s="20"/>
      <c r="Z20" s="20"/>
    </row>
    <row r="21">
      <c r="A21" s="7" t="s">
        <v>167</v>
      </c>
      <c r="B21" s="13" t="s">
        <v>349</v>
      </c>
      <c r="C21" s="22"/>
      <c r="D21" s="22"/>
      <c r="E21" s="22"/>
      <c r="F21" s="22"/>
      <c r="G21" s="22"/>
      <c r="H21" s="22"/>
      <c r="I21" s="25" t="s">
        <v>350</v>
      </c>
      <c r="J21" s="25" t="s">
        <v>351</v>
      </c>
      <c r="K21" s="17" t="s">
        <v>352</v>
      </c>
      <c r="L21" s="17" t="s">
        <v>353</v>
      </c>
      <c r="M21" s="17" t="s">
        <v>354</v>
      </c>
      <c r="N21" s="20"/>
      <c r="O21" s="20"/>
      <c r="P21" s="20"/>
      <c r="Q21" s="20"/>
      <c r="R21" s="20"/>
      <c r="S21" s="20"/>
      <c r="T21" s="20"/>
      <c r="U21" s="20"/>
      <c r="V21" s="20"/>
      <c r="W21" s="20"/>
      <c r="X21" s="20"/>
      <c r="Y21" s="20"/>
      <c r="Z21" s="20"/>
    </row>
    <row r="22">
      <c r="A22" s="7" t="s">
        <v>355</v>
      </c>
      <c r="B22" s="7"/>
      <c r="C22" s="22"/>
      <c r="D22" s="22"/>
      <c r="E22" s="22"/>
      <c r="F22" s="22"/>
      <c r="G22" s="22"/>
      <c r="H22" s="22"/>
      <c r="I22" s="29"/>
      <c r="J22" s="25" t="s">
        <v>356</v>
      </c>
      <c r="K22" s="22"/>
      <c r="L22" s="17" t="s">
        <v>357</v>
      </c>
      <c r="M22" s="17" t="s">
        <v>358</v>
      </c>
      <c r="N22" s="20"/>
      <c r="O22" s="20"/>
      <c r="P22" s="20"/>
      <c r="Q22" s="20"/>
      <c r="R22" s="20"/>
      <c r="S22" s="20"/>
      <c r="T22" s="20"/>
      <c r="U22" s="20"/>
      <c r="V22" s="20"/>
      <c r="W22" s="20"/>
      <c r="X22" s="20"/>
      <c r="Y22" s="20"/>
      <c r="Z22" s="20"/>
    </row>
    <row r="23">
      <c r="A23" s="7" t="s">
        <v>359</v>
      </c>
      <c r="B23" s="7"/>
      <c r="C23" s="22"/>
      <c r="D23" s="22"/>
      <c r="E23" s="22"/>
      <c r="F23" s="22"/>
      <c r="G23" s="22"/>
      <c r="H23" s="22"/>
      <c r="I23" s="29"/>
      <c r="J23" s="22"/>
      <c r="K23" s="17" t="s">
        <v>360</v>
      </c>
      <c r="L23" s="22"/>
      <c r="M23" s="17" t="s">
        <v>361</v>
      </c>
      <c r="N23" s="20"/>
      <c r="O23" s="20"/>
      <c r="P23" s="20"/>
      <c r="Q23" s="20"/>
      <c r="R23" s="20"/>
      <c r="S23" s="20"/>
      <c r="T23" s="20"/>
      <c r="U23" s="20"/>
      <c r="V23" s="20"/>
      <c r="W23" s="20"/>
      <c r="X23" s="20"/>
      <c r="Y23" s="20"/>
      <c r="Z23" s="20"/>
    </row>
    <row r="24">
      <c r="A24" s="7" t="s">
        <v>362</v>
      </c>
      <c r="B24" s="7"/>
      <c r="C24" s="22"/>
      <c r="D24" s="22"/>
      <c r="E24" s="22"/>
      <c r="F24" s="22"/>
      <c r="G24" s="22"/>
      <c r="H24" s="22"/>
      <c r="I24" s="22"/>
      <c r="J24" s="17" t="s">
        <v>363</v>
      </c>
      <c r="K24" s="17" t="s">
        <v>364</v>
      </c>
      <c r="L24" s="17" t="s">
        <v>365</v>
      </c>
      <c r="M24" s="17" t="s">
        <v>366</v>
      </c>
      <c r="N24" s="20"/>
      <c r="O24" s="20"/>
      <c r="P24" s="20"/>
      <c r="Q24" s="20"/>
      <c r="R24" s="20"/>
      <c r="S24" s="20"/>
      <c r="T24" s="20"/>
      <c r="U24" s="20"/>
      <c r="V24" s="20"/>
      <c r="W24" s="20"/>
      <c r="X24" s="20"/>
      <c r="Y24" s="20"/>
      <c r="Z24" s="20"/>
    </row>
    <row r="25">
      <c r="A25" s="7" t="s">
        <v>367</v>
      </c>
      <c r="B25" s="7"/>
      <c r="C25" s="22"/>
      <c r="D25" s="22"/>
      <c r="E25" s="22"/>
      <c r="F25" s="22"/>
      <c r="G25" s="22"/>
      <c r="H25" s="22"/>
      <c r="I25" s="22"/>
      <c r="J25" s="17" t="s">
        <v>368</v>
      </c>
      <c r="K25" s="22"/>
      <c r="L25" s="17" t="s">
        <v>369</v>
      </c>
      <c r="M25" s="17" t="s">
        <v>370</v>
      </c>
      <c r="N25" s="20"/>
      <c r="O25" s="20"/>
      <c r="P25" s="20"/>
      <c r="Q25" s="20"/>
      <c r="R25" s="20"/>
      <c r="S25" s="20"/>
      <c r="T25" s="20"/>
      <c r="U25" s="20"/>
      <c r="V25" s="20"/>
      <c r="W25" s="20"/>
      <c r="X25" s="20"/>
      <c r="Y25" s="20"/>
      <c r="Z25" s="20"/>
    </row>
    <row r="26">
      <c r="A26" s="7" t="s">
        <v>371</v>
      </c>
      <c r="B26" s="7"/>
      <c r="C26" s="22"/>
      <c r="D26" s="22"/>
      <c r="E26" s="22"/>
      <c r="F26" s="22"/>
      <c r="G26" s="22"/>
      <c r="H26" s="22"/>
      <c r="I26" s="22"/>
      <c r="J26" s="22"/>
      <c r="K26" s="17" t="s">
        <v>372</v>
      </c>
      <c r="L26" s="17" t="s">
        <v>373</v>
      </c>
      <c r="M26" s="17" t="s">
        <v>374</v>
      </c>
      <c r="N26" s="20"/>
      <c r="O26" s="20"/>
      <c r="P26" s="20"/>
      <c r="Q26" s="20"/>
      <c r="R26" s="20"/>
      <c r="S26" s="20"/>
      <c r="T26" s="20"/>
      <c r="U26" s="20"/>
      <c r="V26" s="20"/>
      <c r="W26" s="20"/>
      <c r="X26" s="20"/>
      <c r="Y26" s="20"/>
      <c r="Z26" s="20"/>
    </row>
    <row r="27">
      <c r="A27" s="7" t="s">
        <v>375</v>
      </c>
      <c r="B27" s="7"/>
      <c r="C27" s="22"/>
      <c r="D27" s="22"/>
      <c r="E27" s="22"/>
      <c r="F27" s="22"/>
      <c r="G27" s="22"/>
      <c r="H27" s="22"/>
      <c r="I27" s="22"/>
      <c r="J27" s="22"/>
      <c r="K27" s="22"/>
      <c r="L27" s="22"/>
      <c r="M27" s="22"/>
      <c r="N27" s="20"/>
      <c r="O27" s="20"/>
      <c r="P27" s="20"/>
      <c r="Q27" s="20"/>
      <c r="R27" s="20"/>
      <c r="S27" s="20"/>
      <c r="T27" s="20"/>
      <c r="U27" s="20"/>
      <c r="V27" s="20"/>
      <c r="W27" s="20"/>
      <c r="X27" s="20"/>
      <c r="Y27" s="20"/>
      <c r="Z27" s="20"/>
    </row>
    <row r="28">
      <c r="A28" s="7" t="s">
        <v>102</v>
      </c>
      <c r="B28" s="7"/>
      <c r="C28" s="22"/>
      <c r="D28" s="22"/>
      <c r="E28" s="22"/>
      <c r="F28" s="22"/>
      <c r="G28" s="22"/>
      <c r="H28" s="22"/>
      <c r="I28" s="22"/>
      <c r="J28" s="22"/>
      <c r="K28" s="22"/>
      <c r="L28" s="22"/>
      <c r="M28" s="22"/>
      <c r="N28" s="20"/>
      <c r="O28" s="20"/>
      <c r="P28" s="20"/>
      <c r="Q28" s="20"/>
      <c r="R28" s="20"/>
      <c r="S28" s="20"/>
      <c r="T28" s="20"/>
      <c r="U28" s="20"/>
      <c r="V28" s="20"/>
      <c r="W28" s="20"/>
      <c r="X28" s="20"/>
      <c r="Y28" s="20"/>
      <c r="Z28" s="20"/>
    </row>
    <row r="29">
      <c r="A29" s="7" t="s">
        <v>376</v>
      </c>
      <c r="B29" s="23"/>
      <c r="C29" s="22"/>
      <c r="D29" s="22"/>
      <c r="E29" s="22"/>
      <c r="F29" s="22"/>
      <c r="G29" s="22"/>
      <c r="H29" s="22"/>
      <c r="I29" s="22"/>
      <c r="J29" s="22"/>
      <c r="K29" s="22"/>
      <c r="L29" s="22"/>
      <c r="M29" s="22"/>
      <c r="N29" s="20"/>
      <c r="O29" s="20"/>
      <c r="P29" s="20"/>
      <c r="Q29" s="20"/>
      <c r="R29" s="20"/>
      <c r="S29" s="20"/>
      <c r="T29" s="20"/>
      <c r="U29" s="20"/>
      <c r="V29" s="20"/>
      <c r="W29" s="20"/>
      <c r="X29" s="20"/>
      <c r="Y29" s="20"/>
      <c r="Z29" s="20"/>
    </row>
    <row r="30">
      <c r="A30" s="28"/>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8"/>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8"/>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8"/>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8"/>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8"/>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8"/>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8"/>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8"/>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8"/>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8"/>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8"/>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8"/>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8"/>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8"/>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8"/>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8"/>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8"/>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8"/>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8"/>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8"/>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8"/>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8"/>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8"/>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8"/>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8"/>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8"/>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8"/>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8"/>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8"/>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8"/>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8"/>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8"/>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8"/>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8"/>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8"/>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8"/>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8"/>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8"/>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8"/>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8"/>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8"/>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8"/>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8"/>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8"/>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8"/>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8"/>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8"/>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8"/>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8"/>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8"/>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8"/>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8"/>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8"/>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8"/>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8"/>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8"/>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8"/>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8"/>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8"/>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8"/>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8"/>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8"/>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8"/>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8"/>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8"/>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8"/>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8"/>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8"/>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8"/>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8"/>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8"/>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8"/>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8"/>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8"/>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8"/>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8"/>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8"/>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8"/>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8"/>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8"/>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8"/>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8"/>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8"/>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8"/>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8"/>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8"/>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8"/>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8"/>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8"/>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8"/>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8"/>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8"/>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8"/>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8"/>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8"/>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8"/>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8"/>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8"/>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8"/>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8"/>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8"/>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8"/>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8"/>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8"/>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8"/>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8"/>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8"/>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8"/>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8"/>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8"/>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8"/>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8"/>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8"/>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8"/>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8"/>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8"/>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8"/>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8"/>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8"/>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8"/>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8"/>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8"/>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8"/>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8"/>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8"/>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8"/>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8"/>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8"/>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8"/>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8"/>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8"/>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8"/>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8"/>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8"/>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8"/>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8"/>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8"/>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8"/>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8"/>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8"/>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8"/>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8"/>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8"/>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8"/>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8"/>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8"/>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8"/>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8"/>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8"/>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8"/>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8"/>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8"/>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8"/>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8"/>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8"/>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8"/>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8"/>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8"/>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8"/>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8"/>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8"/>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8"/>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8"/>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8"/>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8"/>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8"/>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8"/>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8"/>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8"/>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8"/>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8"/>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8"/>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8"/>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8"/>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8"/>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8"/>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8"/>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8"/>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8"/>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8"/>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8"/>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8"/>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8"/>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8"/>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8"/>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8"/>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8"/>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8"/>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8"/>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8"/>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8"/>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8"/>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8"/>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8"/>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8"/>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8"/>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8"/>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8"/>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8"/>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8"/>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8"/>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8"/>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8"/>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8"/>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8"/>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8"/>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8"/>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8"/>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8"/>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8"/>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8"/>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8"/>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8"/>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8"/>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8"/>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8"/>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8"/>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8"/>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8"/>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8"/>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8"/>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8"/>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8"/>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8"/>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8"/>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8"/>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8"/>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8"/>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8"/>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8"/>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8"/>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8"/>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8"/>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8"/>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8"/>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8"/>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8"/>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8"/>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8"/>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8"/>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8"/>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8"/>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8"/>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8"/>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8"/>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8"/>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8"/>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8"/>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8"/>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8"/>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8"/>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8"/>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8"/>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8"/>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8"/>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8"/>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8"/>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8"/>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8"/>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8"/>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8"/>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8"/>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8"/>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8"/>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8"/>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8"/>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8"/>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8"/>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8"/>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8"/>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8"/>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8"/>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8"/>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8"/>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8"/>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8"/>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8"/>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8"/>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8"/>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8"/>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8"/>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8"/>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8"/>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8"/>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8"/>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8"/>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8"/>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8"/>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8"/>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8"/>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8"/>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8"/>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8"/>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8"/>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8"/>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8"/>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8"/>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8"/>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8"/>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8"/>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8"/>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8"/>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8"/>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8"/>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8"/>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8"/>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8"/>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8"/>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8"/>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8"/>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8"/>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8"/>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8"/>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8"/>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8"/>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8"/>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8"/>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8"/>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8"/>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8"/>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8"/>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8"/>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8"/>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8"/>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8"/>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8"/>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8"/>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8"/>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8"/>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8"/>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8"/>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8"/>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8"/>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8"/>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8"/>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8"/>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8"/>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8"/>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8"/>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8"/>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8"/>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8"/>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8"/>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8"/>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8"/>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8"/>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8"/>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8"/>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8"/>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8"/>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8"/>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8"/>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8"/>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8"/>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8"/>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8"/>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8"/>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8"/>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8"/>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8"/>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8"/>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8"/>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8"/>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8"/>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8"/>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8"/>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8"/>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8"/>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8"/>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8"/>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8"/>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8"/>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8"/>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8"/>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8"/>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8"/>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8"/>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8"/>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8"/>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8"/>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8"/>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8"/>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8"/>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8"/>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8"/>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8"/>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8"/>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8"/>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8"/>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8"/>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8"/>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8"/>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8"/>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8"/>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8"/>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8"/>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8"/>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8"/>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8"/>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8"/>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8"/>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8"/>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8"/>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8"/>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8"/>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8"/>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8"/>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8"/>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8"/>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8"/>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8"/>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8"/>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8"/>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8"/>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8"/>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8"/>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8"/>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8"/>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8"/>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8"/>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8"/>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8"/>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8"/>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8"/>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8"/>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8"/>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8"/>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8"/>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8"/>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8"/>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8"/>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8"/>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8"/>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8"/>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8"/>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8"/>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8"/>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8"/>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8"/>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8"/>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8"/>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8"/>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8"/>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8"/>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8"/>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8"/>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8"/>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8"/>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8"/>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8"/>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8"/>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8"/>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8"/>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8"/>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8"/>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8"/>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8"/>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8"/>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8"/>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8"/>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8"/>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8"/>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8"/>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8"/>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8"/>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8"/>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8"/>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8"/>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8"/>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8"/>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8"/>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8"/>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8"/>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8"/>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8"/>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8"/>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8"/>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8"/>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8"/>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8"/>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8"/>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8"/>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8"/>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8"/>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8"/>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8"/>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8"/>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8"/>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8"/>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8"/>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8"/>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8"/>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8"/>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8"/>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8"/>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8"/>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8"/>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8"/>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8"/>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8"/>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8"/>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8"/>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8"/>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8"/>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8"/>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8"/>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8"/>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8"/>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8"/>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8"/>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8"/>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8"/>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8"/>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8"/>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8"/>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8"/>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8"/>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8"/>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8"/>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8"/>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8"/>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8"/>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8"/>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8"/>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8"/>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8"/>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8"/>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8"/>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8"/>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8"/>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8"/>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8"/>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8"/>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8"/>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8"/>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8"/>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8"/>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8"/>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8"/>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8"/>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8"/>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8"/>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8"/>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8"/>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8"/>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8"/>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8"/>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8"/>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8"/>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8"/>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8"/>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8"/>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8"/>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8"/>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8"/>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8"/>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8"/>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8"/>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8"/>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8"/>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8"/>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8"/>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8"/>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8"/>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8"/>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8"/>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8"/>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8"/>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8"/>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8"/>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8"/>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8"/>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8"/>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8"/>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8"/>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8"/>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8"/>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8"/>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8"/>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8"/>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8"/>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8"/>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8"/>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8"/>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8"/>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8"/>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8"/>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8"/>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8"/>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8"/>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8"/>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8"/>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8"/>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8"/>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8"/>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8"/>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8"/>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8"/>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8"/>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8"/>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8"/>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8"/>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8"/>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8"/>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8"/>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8"/>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8"/>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8"/>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8"/>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8"/>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8"/>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8"/>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8"/>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8"/>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8"/>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8"/>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8"/>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8"/>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8"/>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8"/>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8"/>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8"/>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8"/>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8"/>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8"/>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8"/>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8"/>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8"/>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8"/>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8"/>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8"/>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8"/>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8"/>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8"/>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8"/>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8"/>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8"/>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8"/>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8"/>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8"/>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8"/>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8"/>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8"/>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8"/>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8"/>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8"/>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8"/>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8"/>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8"/>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8"/>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8"/>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8"/>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8"/>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8"/>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8"/>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8"/>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8"/>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8"/>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8"/>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8"/>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8"/>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8"/>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8"/>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8"/>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8"/>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8"/>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8"/>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8"/>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8"/>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8"/>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8"/>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8"/>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8"/>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8"/>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8"/>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8"/>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8"/>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8"/>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8"/>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8"/>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8"/>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8"/>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8"/>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8"/>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8"/>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8"/>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8"/>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8"/>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8"/>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8"/>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8"/>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8"/>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8"/>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8"/>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8"/>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8"/>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8"/>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8"/>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8"/>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8"/>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8"/>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8"/>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8"/>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8"/>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8"/>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8"/>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8"/>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8"/>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8"/>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8"/>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8"/>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8"/>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8"/>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8"/>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8"/>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8"/>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8"/>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8"/>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8"/>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8"/>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8"/>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8"/>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8"/>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8"/>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8"/>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8"/>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8"/>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8"/>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8"/>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8"/>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8"/>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8"/>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8"/>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8"/>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8"/>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8"/>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8"/>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8"/>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8"/>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8"/>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8"/>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8"/>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8"/>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8"/>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8"/>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8"/>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8"/>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8"/>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8"/>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8"/>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8"/>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8"/>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8"/>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8"/>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8"/>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8"/>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8"/>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8"/>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8"/>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8"/>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8"/>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8"/>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8"/>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8"/>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8"/>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8"/>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8"/>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8"/>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8"/>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8"/>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8"/>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8"/>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8"/>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8"/>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8"/>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8"/>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8"/>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8"/>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8"/>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8"/>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8"/>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8"/>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8"/>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8"/>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8"/>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8"/>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8"/>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8"/>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8"/>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8"/>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8"/>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8"/>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8"/>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8"/>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8"/>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8"/>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8"/>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8"/>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8"/>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8"/>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8"/>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8"/>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8"/>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8"/>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8"/>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8"/>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8"/>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8"/>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8"/>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8"/>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8"/>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8"/>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8"/>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8"/>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8"/>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8"/>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8"/>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8"/>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8"/>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8"/>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8"/>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8"/>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8"/>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8"/>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8"/>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8"/>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8"/>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8"/>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8"/>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8"/>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8"/>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8"/>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8"/>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8"/>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8"/>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8"/>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8"/>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8"/>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8"/>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8"/>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8"/>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8"/>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8"/>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8"/>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8"/>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8"/>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8"/>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8"/>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8"/>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8"/>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8"/>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8"/>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8"/>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8"/>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8"/>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8"/>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8"/>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8"/>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8"/>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8"/>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8"/>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8"/>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8"/>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8"/>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8"/>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8"/>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8"/>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8"/>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8"/>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8"/>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8"/>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8"/>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8"/>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8"/>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8"/>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8"/>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8"/>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8"/>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8"/>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8"/>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8"/>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8"/>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8"/>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8"/>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8"/>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8"/>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8"/>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8"/>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8"/>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8"/>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8"/>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8"/>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8"/>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8"/>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8"/>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8"/>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8"/>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8"/>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8"/>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2" t="s">
        <v>2</v>
      </c>
    </row>
    <row r="2">
      <c r="A2" s="7" t="s">
        <v>8</v>
      </c>
    </row>
    <row r="3">
      <c r="A3" s="7" t="s">
        <v>28</v>
      </c>
    </row>
    <row r="4">
      <c r="A4" s="7" t="s">
        <v>31</v>
      </c>
    </row>
    <row r="5">
      <c r="A5" s="7" t="s">
        <v>33</v>
      </c>
    </row>
    <row r="6">
      <c r="A6" s="7"/>
    </row>
    <row r="7">
      <c r="A7" s="7" t="s">
        <v>38</v>
      </c>
    </row>
    <row r="8">
      <c r="A8" s="17" t="s">
        <v>92</v>
      </c>
    </row>
    <row r="9">
      <c r="A9" s="17" t="s">
        <v>97</v>
      </c>
    </row>
    <row r="10">
      <c r="A10" s="17" t="s">
        <v>100</v>
      </c>
    </row>
    <row r="11">
      <c r="A11" s="17" t="s">
        <v>104</v>
      </c>
    </row>
    <row r="12">
      <c r="A12" s="17" t="s">
        <v>106</v>
      </c>
    </row>
    <row r="13">
      <c r="A13" s="17" t="s">
        <v>109</v>
      </c>
    </row>
    <row r="14">
      <c r="A14" s="18" t="s">
        <v>112</v>
      </c>
    </row>
    <row r="15">
      <c r="A15" s="23"/>
    </row>
    <row r="16">
      <c r="A16" s="7"/>
    </row>
    <row r="17">
      <c r="A17" s="7" t="s">
        <v>120</v>
      </c>
    </row>
    <row r="18">
      <c r="A18" s="17" t="s">
        <v>122</v>
      </c>
    </row>
    <row r="19">
      <c r="A19" s="17" t="s">
        <v>124</v>
      </c>
    </row>
    <row r="20">
      <c r="A20" s="17" t="s">
        <v>128</v>
      </c>
    </row>
    <row r="21">
      <c r="A21" s="18" t="s">
        <v>131</v>
      </c>
    </row>
    <row r="22">
      <c r="A22" s="17" t="s">
        <v>135</v>
      </c>
    </row>
    <row r="23">
      <c r="A23" s="17" t="s">
        <v>138</v>
      </c>
    </row>
    <row r="24">
      <c r="A24" s="17" t="s">
        <v>141</v>
      </c>
    </row>
    <row r="25">
      <c r="A25" s="17" t="s">
        <v>145</v>
      </c>
    </row>
    <row r="27">
      <c r="A27" s="26" t="s">
        <v>151</v>
      </c>
    </row>
    <row r="28">
      <c r="A28" s="3" t="s">
        <v>157</v>
      </c>
    </row>
    <row r="29">
      <c r="A29" s="3" t="s">
        <v>160</v>
      </c>
    </row>
    <row r="30">
      <c r="A30" s="3" t="s">
        <v>163</v>
      </c>
    </row>
    <row r="31">
      <c r="A31" s="3" t="s">
        <v>165</v>
      </c>
    </row>
    <row r="32">
      <c r="A32" s="3" t="s">
        <v>167</v>
      </c>
    </row>
    <row r="33">
      <c r="A33" s="3" t="s">
        <v>169</v>
      </c>
    </row>
    <row r="35">
      <c r="A35" s="7" t="s">
        <v>171</v>
      </c>
    </row>
    <row r="36">
      <c r="A36" s="17" t="s">
        <v>173</v>
      </c>
    </row>
    <row r="37">
      <c r="A37" s="17" t="s">
        <v>174</v>
      </c>
    </row>
    <row r="38">
      <c r="A38" s="17" t="s">
        <v>176</v>
      </c>
    </row>
    <row r="39">
      <c r="A39" s="17" t="s">
        <v>178</v>
      </c>
    </row>
    <row r="40">
      <c r="A40" s="17" t="s">
        <v>181</v>
      </c>
    </row>
    <row r="41">
      <c r="A41" s="3" t="s">
        <v>184</v>
      </c>
    </row>
    <row r="42">
      <c r="A42" s="17" t="s">
        <v>188</v>
      </c>
    </row>
    <row r="43">
      <c r="A43" s="17" t="s">
        <v>190</v>
      </c>
    </row>
    <row r="44">
      <c r="A44" s="27"/>
    </row>
    <row r="45">
      <c r="A45" s="7" t="s">
        <v>194</v>
      </c>
    </row>
    <row r="46">
      <c r="A46" s="7" t="s">
        <v>196</v>
      </c>
    </row>
    <row r="47">
      <c r="A47" s="7"/>
    </row>
    <row r="48">
      <c r="A48" s="7"/>
    </row>
    <row r="49">
      <c r="A49" s="7"/>
    </row>
    <row r="50">
      <c r="A50" s="7"/>
    </row>
    <row r="51">
      <c r="A51" s="7"/>
    </row>
    <row r="52">
      <c r="A52" s="7"/>
    </row>
    <row r="53">
      <c r="A53" s="7"/>
    </row>
    <row r="54">
      <c r="A54" s="7" t="s">
        <v>202</v>
      </c>
    </row>
    <row r="55">
      <c r="A55" s="27"/>
    </row>
    <row r="56">
      <c r="A56" s="27"/>
    </row>
    <row r="57">
      <c r="A57" s="27"/>
    </row>
    <row r="58">
      <c r="A58" s="27"/>
    </row>
    <row r="59">
      <c r="A59" s="27"/>
    </row>
    <row r="60">
      <c r="A60" s="27"/>
    </row>
    <row r="61">
      <c r="A61" s="27"/>
    </row>
    <row r="62">
      <c r="A62" s="27"/>
    </row>
    <row r="63">
      <c r="A63" s="27"/>
    </row>
    <row r="64">
      <c r="A64" s="27"/>
    </row>
    <row r="65">
      <c r="A65" s="27"/>
    </row>
    <row r="66">
      <c r="A66" s="27"/>
    </row>
    <row r="67">
      <c r="A67" s="27"/>
    </row>
    <row r="68">
      <c r="A68" s="27"/>
    </row>
    <row r="69">
      <c r="A69" s="27"/>
    </row>
    <row r="70">
      <c r="A70" s="7" t="s">
        <v>217</v>
      </c>
    </row>
    <row r="71">
      <c r="A71" s="27"/>
    </row>
    <row r="72">
      <c r="A72" s="7" t="s">
        <v>219</v>
      </c>
    </row>
    <row r="73">
      <c r="A73" s="27"/>
    </row>
    <row r="74">
      <c r="A74" s="27"/>
    </row>
    <row r="75">
      <c r="A75" s="27"/>
    </row>
    <row r="76">
      <c r="A76" s="27"/>
    </row>
    <row r="77">
      <c r="A77" s="27"/>
    </row>
    <row r="78">
      <c r="A78" s="7" t="s">
        <v>232</v>
      </c>
    </row>
    <row r="79">
      <c r="A79" s="27"/>
    </row>
    <row r="80">
      <c r="A80" s="27"/>
    </row>
    <row r="81">
      <c r="A81" s="27"/>
    </row>
    <row r="82">
      <c r="A82" s="7" t="s">
        <v>163</v>
      </c>
    </row>
    <row r="83">
      <c r="A83" s="27"/>
    </row>
    <row r="84">
      <c r="A84" s="27"/>
    </row>
    <row r="85">
      <c r="A85" s="27"/>
    </row>
    <row r="86">
      <c r="A86" s="7" t="s">
        <v>242</v>
      </c>
    </row>
    <row r="87">
      <c r="A87" s="27"/>
    </row>
    <row r="88">
      <c r="A88" s="7" t="s">
        <v>247</v>
      </c>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row r="1001">
      <c r="A1001" s="28"/>
    </row>
    <row r="1002">
      <c r="A1002" s="28"/>
    </row>
    <row r="1003">
      <c r="A1003" s="28"/>
    </row>
    <row r="1004">
      <c r="A1004" s="28"/>
    </row>
    <row r="1005">
      <c r="A1005" s="28"/>
    </row>
    <row r="1006">
      <c r="A1006" s="28"/>
    </row>
    <row r="1007">
      <c r="A1007" s="28"/>
    </row>
    <row r="1008">
      <c r="A1008" s="28"/>
    </row>
    <row r="1009">
      <c r="A1009" s="28"/>
    </row>
    <row r="1010">
      <c r="A1010" s="28"/>
    </row>
    <row r="1011">
      <c r="A1011" s="28"/>
    </row>
    <row r="1012">
      <c r="A1012" s="28"/>
    </row>
    <row r="1013">
      <c r="A1013" s="28"/>
    </row>
    <row r="1014">
      <c r="A1014" s="28"/>
    </row>
    <row r="1015">
      <c r="A1015" s="28"/>
    </row>
    <row r="1016">
      <c r="A1016" s="28"/>
    </row>
    <row r="1017">
      <c r="A1017" s="28"/>
    </row>
    <row r="1018">
      <c r="A1018" s="28"/>
    </row>
    <row r="1019">
      <c r="A1019" s="28"/>
    </row>
    <row r="1020">
      <c r="A1020" s="28"/>
    </row>
    <row r="1021">
      <c r="A1021" s="28"/>
    </row>
    <row r="1022">
      <c r="A1022" s="28"/>
    </row>
    <row r="1023">
      <c r="A1023" s="28"/>
    </row>
    <row r="1024">
      <c r="A1024" s="28"/>
    </row>
    <row r="1025">
      <c r="A1025" s="28"/>
    </row>
    <row r="1026">
      <c r="A1026" s="28"/>
    </row>
    <row r="1027">
      <c r="A1027" s="28"/>
    </row>
    <row r="1028">
      <c r="A1028" s="28"/>
    </row>
    <row r="1029">
      <c r="A1029" s="28"/>
    </row>
    <row r="1030">
      <c r="A1030" s="28"/>
    </row>
    <row r="1031">
      <c r="A1031" s="28"/>
    </row>
    <row r="1032">
      <c r="A1032" s="28"/>
    </row>
    <row r="1033">
      <c r="A1033" s="28"/>
    </row>
    <row r="1034">
      <c r="A1034" s="28"/>
    </row>
    <row r="1035">
      <c r="A1035" s="28"/>
    </row>
    <row r="1036">
      <c r="A1036" s="28"/>
    </row>
    <row r="1037">
      <c r="A1037" s="28"/>
    </row>
    <row r="1038">
      <c r="A1038" s="28"/>
    </row>
    <row r="1039">
      <c r="A1039" s="28"/>
    </row>
    <row r="1040">
      <c r="A1040" s="2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63"/>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13" t="s">
        <v>47</v>
      </c>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13" t="s">
        <v>90</v>
      </c>
      <c r="I5" s="13" t="s">
        <v>94</v>
      </c>
      <c r="J5" s="4"/>
      <c r="K5" s="4"/>
      <c r="L5" s="13" t="s">
        <v>102</v>
      </c>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13" t="s">
        <v>126</v>
      </c>
      <c r="I7" s="4"/>
      <c r="J7" s="4"/>
      <c r="K7" s="4"/>
      <c r="L7" s="4"/>
      <c r="M7" s="4"/>
      <c r="N7" s="4"/>
      <c r="O7" s="4"/>
      <c r="P7" s="4"/>
      <c r="Q7" s="4"/>
      <c r="R7" s="4"/>
      <c r="S7" s="4"/>
      <c r="T7" s="4"/>
      <c r="U7" s="4"/>
      <c r="V7" s="4"/>
      <c r="W7" s="4"/>
      <c r="X7" s="4"/>
      <c r="Y7" s="4"/>
      <c r="Z7" s="4"/>
    </row>
    <row r="8">
      <c r="A8" s="4"/>
      <c r="B8" s="13" t="s">
        <v>144</v>
      </c>
      <c r="C8" s="13" t="s">
        <v>147</v>
      </c>
      <c r="D8" s="13" t="s">
        <v>149</v>
      </c>
      <c r="E8" s="13" t="s">
        <v>152</v>
      </c>
      <c r="F8" s="4"/>
      <c r="G8" s="4"/>
      <c r="H8" s="4"/>
      <c r="I8" s="4"/>
      <c r="J8" s="4"/>
      <c r="K8" s="4"/>
      <c r="L8" s="4"/>
      <c r="M8" s="4"/>
      <c r="N8" s="4"/>
      <c r="O8" s="4"/>
      <c r="P8" s="4"/>
      <c r="Q8" s="4"/>
      <c r="R8" s="4"/>
      <c r="S8" s="4"/>
      <c r="T8" s="4"/>
      <c r="U8" s="4"/>
      <c r="V8" s="4"/>
      <c r="W8" s="4"/>
      <c r="X8" s="4"/>
      <c r="Y8" s="4"/>
      <c r="Z8" s="4"/>
    </row>
    <row r="9">
      <c r="A9" s="4"/>
      <c r="B9" s="13" t="s">
        <v>161</v>
      </c>
      <c r="C9" s="13" t="s">
        <v>33</v>
      </c>
      <c r="D9" s="13" t="s">
        <v>102</v>
      </c>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13" t="s">
        <v>182</v>
      </c>
      <c r="J11" s="13" t="s">
        <v>185</v>
      </c>
      <c r="K11" s="13" t="s">
        <v>187</v>
      </c>
      <c r="L11" s="4"/>
      <c r="M11" s="4"/>
      <c r="N11" s="4"/>
      <c r="O11" s="4"/>
      <c r="P11" s="4"/>
      <c r="Q11" s="4"/>
      <c r="R11" s="4"/>
      <c r="S11" s="4"/>
      <c r="T11" s="4"/>
      <c r="U11" s="4"/>
      <c r="V11" s="4"/>
      <c r="W11" s="4"/>
      <c r="X11" s="4"/>
      <c r="Y11" s="4"/>
      <c r="Z11" s="4"/>
    </row>
    <row r="12">
      <c r="A12" s="4"/>
      <c r="B12" s="4"/>
      <c r="C12" s="4"/>
      <c r="D12" s="4"/>
      <c r="E12" s="4"/>
      <c r="F12" s="4"/>
      <c r="G12" s="4"/>
      <c r="H12" s="4"/>
      <c r="I12" s="13" t="s">
        <v>193</v>
      </c>
      <c r="J12" s="4"/>
      <c r="K12" s="4"/>
      <c r="L12" s="4"/>
      <c r="M12" s="4"/>
      <c r="N12" s="4"/>
      <c r="O12" s="4"/>
      <c r="P12" s="4"/>
      <c r="Q12" s="4"/>
      <c r="R12" s="4"/>
      <c r="S12" s="4"/>
      <c r="T12" s="4"/>
      <c r="U12" s="4"/>
      <c r="V12" s="4"/>
      <c r="W12" s="4"/>
      <c r="X12" s="4"/>
      <c r="Y12" s="4"/>
      <c r="Z12" s="4"/>
    </row>
    <row r="13">
      <c r="A13" s="4"/>
      <c r="B13" s="4"/>
      <c r="C13" s="4"/>
      <c r="D13" s="4"/>
      <c r="E13" s="4"/>
      <c r="F13" s="4"/>
      <c r="G13" s="4"/>
      <c r="H13" s="4"/>
      <c r="I13" s="13" t="s">
        <v>97</v>
      </c>
      <c r="J13" s="4"/>
      <c r="K13" s="4"/>
      <c r="L13" s="4"/>
      <c r="M13" s="4"/>
      <c r="N13" s="4"/>
      <c r="O13" s="4"/>
      <c r="P13" s="4"/>
      <c r="Q13" s="4"/>
      <c r="R13" s="4"/>
      <c r="S13" s="4"/>
      <c r="T13" s="4"/>
      <c r="U13" s="4"/>
      <c r="V13" s="4"/>
      <c r="W13" s="4"/>
      <c r="X13" s="4"/>
      <c r="Y13" s="4"/>
      <c r="Z13" s="4"/>
    </row>
    <row r="14">
      <c r="A14" s="4"/>
      <c r="B14" s="4"/>
      <c r="C14" s="4"/>
      <c r="D14" s="4"/>
      <c r="E14" s="4"/>
      <c r="F14" s="4"/>
      <c r="G14" s="4"/>
      <c r="H14" s="4"/>
      <c r="I14" s="13" t="s">
        <v>207</v>
      </c>
      <c r="J14" s="4"/>
      <c r="K14" s="4"/>
      <c r="L14" s="4"/>
      <c r="M14" s="4"/>
      <c r="N14" s="4"/>
      <c r="O14" s="4"/>
      <c r="P14" s="4"/>
      <c r="Q14" s="4"/>
      <c r="R14" s="4"/>
      <c r="S14" s="4"/>
      <c r="T14" s="4"/>
      <c r="U14" s="4"/>
      <c r="V14" s="4"/>
      <c r="W14" s="4"/>
      <c r="X14" s="4"/>
      <c r="Y14" s="4"/>
      <c r="Z14" s="4"/>
    </row>
    <row r="15">
      <c r="A15" s="4"/>
      <c r="B15" s="4"/>
      <c r="C15" s="4"/>
      <c r="D15" s="4"/>
      <c r="E15" s="4"/>
      <c r="F15" s="4"/>
      <c r="G15" s="4"/>
      <c r="H15" s="4"/>
      <c r="I15" s="13" t="s">
        <v>215</v>
      </c>
      <c r="J15" s="4"/>
      <c r="K15" s="4"/>
      <c r="L15" s="4"/>
      <c r="M15" s="4"/>
      <c r="N15" s="4"/>
      <c r="O15" s="4"/>
      <c r="P15" s="4"/>
      <c r="Q15" s="4"/>
      <c r="R15" s="4"/>
      <c r="S15" s="4"/>
      <c r="T15" s="4"/>
      <c r="U15" s="4"/>
      <c r="V15" s="4"/>
      <c r="W15" s="4"/>
      <c r="X15" s="4"/>
      <c r="Y15" s="4"/>
      <c r="Z15" s="4"/>
    </row>
    <row r="16">
      <c r="A16" s="4"/>
      <c r="B16" s="4"/>
      <c r="C16" s="4"/>
      <c r="D16" s="4"/>
      <c r="E16" s="4"/>
      <c r="F16" s="4"/>
      <c r="G16" s="4"/>
      <c r="H16" s="4"/>
      <c r="I16" s="13" t="s">
        <v>225</v>
      </c>
      <c r="J16" s="4"/>
      <c r="K16" s="4"/>
      <c r="L16" s="4"/>
      <c r="M16" s="4"/>
      <c r="N16" s="4"/>
      <c r="O16" s="4"/>
      <c r="P16" s="4"/>
      <c r="Q16" s="4"/>
      <c r="R16" s="4"/>
      <c r="S16" s="4"/>
      <c r="T16" s="4"/>
      <c r="U16" s="4"/>
      <c r="V16" s="4"/>
      <c r="W16" s="4"/>
      <c r="X16" s="4"/>
      <c r="Y16" s="4"/>
      <c r="Z16" s="4"/>
    </row>
    <row r="17">
      <c r="A17" s="4"/>
      <c r="B17" s="4"/>
      <c r="C17" s="13" t="s">
        <v>234</v>
      </c>
      <c r="D17" s="4"/>
      <c r="E17" s="4"/>
      <c r="F17" s="4"/>
      <c r="G17" s="4"/>
      <c r="H17" s="4"/>
      <c r="I17" s="13" t="s">
        <v>236</v>
      </c>
      <c r="J17" s="4"/>
      <c r="K17" s="4"/>
      <c r="L17" s="4"/>
      <c r="M17" s="4"/>
      <c r="N17" s="4"/>
      <c r="O17" s="4"/>
      <c r="P17" s="4"/>
      <c r="Q17" s="4"/>
      <c r="R17" s="4"/>
      <c r="S17" s="4"/>
      <c r="T17" s="4"/>
      <c r="U17" s="4"/>
      <c r="V17" s="4"/>
      <c r="W17" s="4"/>
      <c r="X17" s="4"/>
      <c r="Y17" s="4"/>
      <c r="Z17" s="4"/>
    </row>
    <row r="18">
      <c r="A18" s="4"/>
      <c r="B18" s="4"/>
      <c r="C18" s="13" t="s">
        <v>240</v>
      </c>
      <c r="D18" s="4"/>
      <c r="E18" s="4"/>
      <c r="F18" s="4"/>
      <c r="G18" s="4"/>
      <c r="H18" s="4"/>
      <c r="I18" s="13" t="s">
        <v>244</v>
      </c>
      <c r="J18" s="4"/>
      <c r="K18" s="4"/>
      <c r="L18" s="4"/>
      <c r="M18" s="4"/>
      <c r="N18" s="4"/>
      <c r="O18" s="4"/>
      <c r="P18" s="4"/>
      <c r="Q18" s="4"/>
      <c r="R18" s="4"/>
      <c r="S18" s="4"/>
      <c r="T18" s="4"/>
      <c r="U18" s="4"/>
      <c r="V18" s="4"/>
      <c r="W18" s="4"/>
      <c r="X18" s="4"/>
      <c r="Y18" s="4"/>
      <c r="Z18" s="4"/>
    </row>
    <row r="19">
      <c r="A19" s="4"/>
      <c r="B19" s="4"/>
      <c r="D19" s="13" t="s">
        <v>249</v>
      </c>
      <c r="E19" s="13" t="s">
        <v>250</v>
      </c>
      <c r="F19" s="4"/>
      <c r="G19" s="4"/>
      <c r="H19" s="4"/>
      <c r="I19" s="4"/>
      <c r="J19" s="4"/>
      <c r="K19" s="4"/>
      <c r="L19" s="4"/>
      <c r="M19" s="4"/>
      <c r="N19" s="4"/>
      <c r="O19" s="4"/>
      <c r="P19" s="4"/>
      <c r="Q19" s="4"/>
      <c r="R19" s="4"/>
      <c r="S19" s="4"/>
      <c r="T19" s="4"/>
      <c r="U19" s="4"/>
      <c r="V19" s="4"/>
      <c r="W19" s="4"/>
      <c r="X19" s="4"/>
      <c r="Y19" s="4"/>
      <c r="Z19" s="4"/>
    </row>
    <row r="20">
      <c r="A20" s="4"/>
      <c r="B20" s="4"/>
      <c r="C20" s="13" t="s">
        <v>254</v>
      </c>
      <c r="F20" s="4"/>
      <c r="G20" s="4"/>
      <c r="H20" s="4"/>
      <c r="I20" s="13" t="s">
        <v>256</v>
      </c>
      <c r="J20" s="13" t="s">
        <v>257</v>
      </c>
      <c r="K20" s="13" t="s">
        <v>258</v>
      </c>
      <c r="L20" s="4">
        <f>19*2</f>
        <v>38</v>
      </c>
      <c r="M20" s="4">
        <f>50*38</f>
        <v>1900</v>
      </c>
      <c r="N20" s="4"/>
      <c r="O20" s="4"/>
      <c r="P20" s="4"/>
      <c r="Q20" s="4"/>
      <c r="R20" s="4"/>
      <c r="S20" s="4"/>
      <c r="T20" s="4"/>
      <c r="U20" s="4"/>
      <c r="V20" s="4"/>
      <c r="W20" s="4"/>
      <c r="X20" s="4"/>
      <c r="Y20" s="4"/>
      <c r="Z20" s="4"/>
    </row>
    <row r="21">
      <c r="A21" s="4"/>
      <c r="B21" s="4"/>
      <c r="C21" s="13" t="s">
        <v>292</v>
      </c>
      <c r="D21" s="4"/>
      <c r="E21" s="4"/>
      <c r="F21" s="4"/>
      <c r="G21" s="4"/>
      <c r="H21" s="4"/>
      <c r="I21" s="4"/>
      <c r="J21" s="4"/>
      <c r="K21" s="4"/>
      <c r="L21" s="4"/>
      <c r="M21" s="4"/>
      <c r="N21" s="4"/>
      <c r="O21" s="4"/>
      <c r="P21" s="4"/>
      <c r="Q21" s="4"/>
      <c r="R21" s="4"/>
      <c r="S21" s="4"/>
      <c r="T21" s="4"/>
      <c r="U21" s="4"/>
      <c r="V21" s="4"/>
      <c r="W21" s="4"/>
      <c r="X21" s="4"/>
      <c r="Y21" s="4"/>
      <c r="Z21" s="4"/>
    </row>
    <row r="22">
      <c r="A22" s="4"/>
      <c r="B22" s="4"/>
      <c r="C22" s="13" t="s">
        <v>300</v>
      </c>
      <c r="D22" s="13" t="s">
        <v>302</v>
      </c>
      <c r="E22" s="13" t="s">
        <v>303</v>
      </c>
      <c r="F22" s="4"/>
      <c r="G22" s="4"/>
      <c r="H22" s="4"/>
      <c r="I22" s="13">
        <v>304.0</v>
      </c>
      <c r="J22" s="13" t="s">
        <v>307</v>
      </c>
      <c r="K22" s="4"/>
      <c r="L22" s="4"/>
      <c r="M22" s="4"/>
      <c r="N22" s="4"/>
      <c r="O22" s="4"/>
      <c r="P22" s="4"/>
      <c r="Q22" s="4"/>
      <c r="R22" s="4"/>
      <c r="S22" s="4"/>
      <c r="T22" s="4"/>
      <c r="U22" s="4"/>
      <c r="V22" s="4"/>
      <c r="W22" s="4"/>
      <c r="X22" s="4"/>
      <c r="Y22" s="4"/>
      <c r="Z22" s="4"/>
    </row>
    <row r="23">
      <c r="A23" s="4"/>
      <c r="B23" s="4"/>
      <c r="C23" s="13" t="s">
        <v>311</v>
      </c>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C20:D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7</v>
      </c>
    </row>
    <row r="2">
      <c r="A2" s="3">
        <v>1.0</v>
      </c>
      <c r="B2" s="3" t="s">
        <v>9</v>
      </c>
      <c r="C2" s="3" t="s">
        <v>10</v>
      </c>
      <c r="D2" s="3" t="s">
        <v>11</v>
      </c>
      <c r="E2" s="3" t="s">
        <v>12</v>
      </c>
    </row>
    <row r="3">
      <c r="A3" s="3">
        <v>2.0</v>
      </c>
      <c r="B3" s="3" t="s">
        <v>13</v>
      </c>
      <c r="C3" s="3" t="s">
        <v>15</v>
      </c>
      <c r="D3" s="3" t="s">
        <v>16</v>
      </c>
      <c r="E3" s="3" t="s">
        <v>17</v>
      </c>
    </row>
    <row r="4">
      <c r="A4" s="3">
        <v>3.0</v>
      </c>
      <c r="B4" s="3" t="s">
        <v>19</v>
      </c>
      <c r="C4" s="3" t="s">
        <v>20</v>
      </c>
      <c r="D4" s="3" t="s">
        <v>22</v>
      </c>
      <c r="E4" s="3" t="s">
        <v>23</v>
      </c>
    </row>
    <row r="5">
      <c r="A5" s="3">
        <v>4.0</v>
      </c>
      <c r="B5" s="3" t="s">
        <v>25</v>
      </c>
      <c r="C5" s="3" t="s">
        <v>26</v>
      </c>
      <c r="D5" s="3" t="s">
        <v>27</v>
      </c>
      <c r="E5" s="3" t="s">
        <v>29</v>
      </c>
    </row>
    <row r="6">
      <c r="A6" s="3">
        <v>5.0</v>
      </c>
      <c r="B6" s="3" t="s">
        <v>32</v>
      </c>
      <c r="C6" s="3" t="s">
        <v>34</v>
      </c>
      <c r="D6" s="3" t="s">
        <v>36</v>
      </c>
      <c r="E6" s="3" t="s">
        <v>37</v>
      </c>
    </row>
    <row r="7">
      <c r="A7" s="3">
        <v>6.0</v>
      </c>
      <c r="B7" s="3" t="s">
        <v>39</v>
      </c>
      <c r="C7" s="3" t="s">
        <v>41</v>
      </c>
      <c r="D7" s="3" t="s">
        <v>42</v>
      </c>
      <c r="E7" s="3" t="s">
        <v>43</v>
      </c>
    </row>
    <row r="8">
      <c r="A8" s="3">
        <v>7.0</v>
      </c>
      <c r="B8" s="3" t="s">
        <v>44</v>
      </c>
      <c r="C8" s="3" t="s">
        <v>46</v>
      </c>
      <c r="D8" s="3" t="s">
        <v>48</v>
      </c>
      <c r="E8" s="3" t="s">
        <v>50</v>
      </c>
    </row>
    <row r="9">
      <c r="A9" s="3">
        <v>8.0</v>
      </c>
      <c r="B9" s="3" t="s">
        <v>51</v>
      </c>
      <c r="C9" s="3" t="s">
        <v>53</v>
      </c>
      <c r="D9" s="3" t="s">
        <v>55</v>
      </c>
      <c r="E9" s="3" t="s">
        <v>56</v>
      </c>
    </row>
    <row r="10">
      <c r="A10" s="3">
        <v>9.0</v>
      </c>
      <c r="B10" s="3" t="s">
        <v>57</v>
      </c>
      <c r="C10" s="3" t="s">
        <v>58</v>
      </c>
      <c r="D10" s="3" t="s">
        <v>59</v>
      </c>
      <c r="E10" s="3" t="s">
        <v>60</v>
      </c>
    </row>
    <row r="11">
      <c r="A11" s="3">
        <v>10.0</v>
      </c>
      <c r="B11" s="3" t="s">
        <v>61</v>
      </c>
      <c r="C11" s="3" t="s">
        <v>62</v>
      </c>
      <c r="D11" s="3" t="s">
        <v>63</v>
      </c>
      <c r="E11" s="3" t="s">
        <v>64</v>
      </c>
    </row>
    <row r="12">
      <c r="A12" s="3">
        <v>11.0</v>
      </c>
      <c r="B12" s="3" t="s">
        <v>65</v>
      </c>
      <c r="C12" s="3" t="s">
        <v>67</v>
      </c>
      <c r="D12" s="3" t="s">
        <v>68</v>
      </c>
      <c r="E12" s="3" t="s">
        <v>69</v>
      </c>
    </row>
    <row r="13">
      <c r="A13" s="3">
        <v>12.0</v>
      </c>
      <c r="B13" s="3" t="s">
        <v>71</v>
      </c>
      <c r="C13" s="3" t="s">
        <v>72</v>
      </c>
      <c r="D13" s="3" t="s">
        <v>73</v>
      </c>
      <c r="E13" s="3" t="s">
        <v>75</v>
      </c>
    </row>
    <row r="14">
      <c r="A14" s="3">
        <v>13.0</v>
      </c>
      <c r="B14" s="3" t="s">
        <v>77</v>
      </c>
      <c r="C14" s="3" t="s">
        <v>78</v>
      </c>
      <c r="D14" s="3" t="s">
        <v>80</v>
      </c>
      <c r="E14" s="3" t="s">
        <v>82</v>
      </c>
    </row>
    <row r="15">
      <c r="A15" s="3">
        <v>14.0</v>
      </c>
      <c r="B15" s="3" t="s">
        <v>85</v>
      </c>
      <c r="C15" s="3" t="s">
        <v>87</v>
      </c>
      <c r="D15" s="3" t="s">
        <v>89</v>
      </c>
      <c r="E15" s="3" t="s">
        <v>91</v>
      </c>
    </row>
    <row r="16">
      <c r="A16" s="3">
        <v>15.0</v>
      </c>
      <c r="B16" s="3" t="s">
        <v>95</v>
      </c>
      <c r="C16" s="3" t="s">
        <v>96</v>
      </c>
      <c r="D16" s="3" t="s">
        <v>99</v>
      </c>
      <c r="E16" s="3" t="s">
        <v>103</v>
      </c>
    </row>
    <row r="17">
      <c r="A17" s="3">
        <v>16.0</v>
      </c>
      <c r="B17" s="3" t="s">
        <v>105</v>
      </c>
      <c r="C17" s="3" t="s">
        <v>107</v>
      </c>
      <c r="D17" s="3" t="s">
        <v>108</v>
      </c>
      <c r="E17" s="3" t="s">
        <v>110</v>
      </c>
    </row>
    <row r="19">
      <c r="B19" s="3" t="s">
        <v>111</v>
      </c>
    </row>
    <row r="22">
      <c r="C22" s="3" t="s">
        <v>113</v>
      </c>
    </row>
    <row r="24">
      <c r="C24" s="3" t="s">
        <v>114</v>
      </c>
    </row>
    <row r="26">
      <c r="C26" s="3" t="s">
        <v>116</v>
      </c>
    </row>
    <row r="28">
      <c r="C28" s="3" t="s">
        <v>118</v>
      </c>
    </row>
    <row r="30">
      <c r="C30" s="3" t="s">
        <v>119</v>
      </c>
    </row>
    <row r="32">
      <c r="C32" s="3" t="s">
        <v>123</v>
      </c>
    </row>
    <row r="34">
      <c r="C34" s="3" t="s">
        <v>127</v>
      </c>
    </row>
    <row r="36">
      <c r="C36" s="3" t="s">
        <v>130</v>
      </c>
    </row>
    <row r="38">
      <c r="C38" s="3" t="s">
        <v>133</v>
      </c>
    </row>
    <row r="40">
      <c r="C40" s="3" t="s">
        <v>136</v>
      </c>
    </row>
    <row r="42">
      <c r="C42" s="3" t="s">
        <v>140</v>
      </c>
    </row>
    <row r="44">
      <c r="C44" s="3" t="s">
        <v>143</v>
      </c>
    </row>
    <row r="46">
      <c r="C46" s="3" t="s">
        <v>146</v>
      </c>
    </row>
    <row r="48">
      <c r="C48" s="3" t="s">
        <v>150</v>
      </c>
    </row>
    <row r="50">
      <c r="C50" s="3" t="s">
        <v>154</v>
      </c>
    </row>
  </sheetData>
  <drawing r:id="rId1"/>
</worksheet>
</file>